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3"/>
    <sheet name="Notes" sheetId="2" state="visible" r:id="rId4"/>
  </sheets>
  <definedNames>
    <definedName function="false" hidden="true" localSheetId="0" name="_xlnm._FilterDatabase" vbProcedure="false">Data!$A$1:$P$41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<sst xmlns="http://schemas.openxmlformats.org/spreadsheetml/2006/main" count="175" uniqueCount="85">
  <si>
    <t xml:space="preserve">Company</t>
  </si>
  <si>
    <t xml:space="preserve">Fiscal Year</t>
  </si>
  <si>
    <t xml:space="preserve">Fiscal Year End</t>
  </si>
  <si>
    <t xml:space="preserve">Analysis Year</t>
  </si>
  <si>
    <t xml:space="preserve">Revenue ($mm)</t>
  </si>
  <si>
    <t xml:space="preserve">Operating Income ($mm)</t>
  </si>
  <si>
    <t xml:space="preserve">Net Income ($mm)</t>
  </si>
  <si>
    <t xml:space="preserve">R&amp;D ($mm)</t>
  </si>
  <si>
    <t xml:space="preserve">Capex ($mm)</t>
  </si>
  <si>
    <t xml:space="preserve">Source Filing</t>
  </si>
  <si>
    <t xml:space="preserve">YoY Revenue Growth</t>
  </si>
  <si>
    <t xml:space="preserve">Operating Margin</t>
  </si>
  <si>
    <t xml:space="preserve">Net Profit Margin</t>
  </si>
  <si>
    <t xml:space="preserve">R&amp;D % of Revenue</t>
  </si>
  <si>
    <t xml:space="preserve">Capex % of Revenue</t>
  </si>
  <si>
    <t xml:space="preserve">R&amp;D + Capex % of Revenue</t>
  </si>
  <si>
    <t xml:space="preserve">Amazon</t>
  </si>
  <si>
    <t xml:space="preserve">FY2018</t>
  </si>
  <si>
    <t xml:space="preserve">10-K FY2019 (amzn-2020.pdf)</t>
  </si>
  <si>
    <t xml:space="preserve">FY2019</t>
  </si>
  <si>
    <t xml:space="preserve">FY2020</t>
  </si>
  <si>
    <t xml:space="preserve">10-K FY2022 (amzn-2023__pdf.pdf)</t>
  </si>
  <si>
    <t xml:space="preserve">FY2021</t>
  </si>
  <si>
    <t xml:space="preserve">FY2022</t>
  </si>
  <si>
    <t xml:space="preserve">FY2023</t>
  </si>
  <si>
    <t xml:space="preserve">10-K FY2025 (amzn-2026.pdf)</t>
  </si>
  <si>
    <t xml:space="preserve">FY2024</t>
  </si>
  <si>
    <t xml:space="preserve">FY2025</t>
  </si>
  <si>
    <t xml:space="preserve">Google</t>
  </si>
  <si>
    <t xml:space="preserve">10-K FY2020 (google_2020.pdf)</t>
  </si>
  <si>
    <t xml:space="preserve">10-K FY2023 (google_2023.pdf)</t>
  </si>
  <si>
    <t xml:space="preserve">10-K FY2025 (google_2026.pdf); same as FY2023 10-K</t>
  </si>
  <si>
    <t xml:space="preserve">10-K FY2025 (google_2026.pdf)</t>
  </si>
  <si>
    <t xml:space="preserve">Meta</t>
  </si>
  <si>
    <t xml:space="preserve">10-K FY2019 (meta2020.pdf)</t>
  </si>
  <si>
    <t xml:space="preserve">10-K FY2022 (meta-2023.pdf)</t>
  </si>
  <si>
    <t xml:space="preserve">10-K FY2025 (meta-20251231_htm.pdf)</t>
  </si>
  <si>
    <t xml:space="preserve">Microsoft</t>
  </si>
  <si>
    <t xml:space="preserve">10-K FY2020 (msft2020.pdf)</t>
  </si>
  <si>
    <t xml:space="preserve">10-K FY2023 (msft-20230630_htm.pdf)</t>
  </si>
  <si>
    <t xml:space="preserve">10-K FY2026 (msft-20260630_htm.pdf)</t>
  </si>
  <si>
    <t xml:space="preserve">FY2026</t>
  </si>
  <si>
    <t xml:space="preserve">NVIDIA</t>
  </si>
  <si>
    <t xml:space="preserve">10-K FY2020 (nvda-2020x10k_htm.pdf)</t>
  </si>
  <si>
    <t xml:space="preserve">10-K FY2023 (nvda-20230129_htm.pdf)</t>
  </si>
  <si>
    <t xml:space="preserve">10-K FY2026 (nvda-2026.pdf)</t>
  </si>
  <si>
    <t xml:space="preserve">Legend:</t>
  </si>
  <si>
    <t xml:space="preserve">Blue = figure typed from the 10-K; black = formula; empty cell = data not available (null).</t>
  </si>
  <si>
    <t xml:space="preserve">All amounts in US$ millions as reported. See Notes sheet for definitions and caveats.</t>
  </si>
  <si>
    <t xml:space="preserve">Big Tech AI Spending - Notes &amp; Definitions</t>
  </si>
  <si>
    <t xml:space="preserve">STATUS</t>
  </si>
  <si>
    <t xml:space="preserve">Complete: all 40 company-years (5 companies x 8 years, Analysis Years 2018-2025) are filled.</t>
  </si>
  <si>
    <t xml:space="preserve">Fiscal year alignment</t>
  </si>
  <si>
    <t xml:space="preserve">Analysis Year = calendar year in which the company's fiscal year STARTS. NVIDIA FY2026 (Feb 2025-Jan 2026) and Microsoft FY2026 (Jul 2025-Jun 2026) both map to 2025, matching Amazon, Google and Meta calendar 2025. Fiscal Year and Fiscal Year End columns keep the company's own labels.</t>
  </si>
  <si>
    <t xml:space="preserve">Common window</t>
  </si>
  <si>
    <t xml:space="preserve">Analysis Years 2018-2025 = 8 years x 5 companies = 40 rows.</t>
  </si>
  <si>
    <t xml:space="preserve">LINE ITEM MAPPING</t>
  </si>
  <si>
    <t xml:space="preserve">Revenue</t>
  </si>
  <si>
    <t xml:space="preserve">Amazon: Total net sales | Google (Alphabet Inc.): Revenues | Meta: Revenue | Microsoft: Total revenue | NVIDIA: Revenue</t>
  </si>
  <si>
    <t xml:space="preserve">Operating Income</t>
  </si>
  <si>
    <t xml:space="preserve">Income statement 'Operating income' / 'Income from operations' for all five.</t>
  </si>
  <si>
    <t xml:space="preserve">Net Income</t>
  </si>
  <si>
    <t xml:space="preserve">Net income (Amazon FY2022 is a loss of $2,722mm).</t>
  </si>
  <si>
    <t xml:space="preserve">R&amp;D</t>
  </si>
  <si>
    <t xml:space="preserve">Google, Meta, Microsoft, NVIDIA: 'Research and development'. AMAZON IS NOT COMPARABLE: uses 'Technology and content' (through 2022) and 'Technology and infrastructure' (2023 onward), a broader line that includes AWS infrastructure costs, not pure R&amp;D. Treat Amazon's R&amp;D ratios as an upper bound.</t>
  </si>
  <si>
    <t xml:space="preserve">Capex</t>
  </si>
  <si>
    <t xml:space="preserve">Cash flow statement. Amazon: Purchases of property and equipment | Google: Purchases of property and equipment | Meta: Purchases of property and equipment (FY2018-19 reported 'net'; principal payments on finance leases excluded) | Microsoft: Additions to property and equipment (excludes finance leases) | NVIDIA: Purchases related to property and equipment and intangible assets. Definitions differ slightly by company.</t>
  </si>
  <si>
    <t xml:space="preserve">ITEMS TO KNOW</t>
  </si>
  <si>
    <t xml:space="preserve">NVIDIA FY2023</t>
  </si>
  <si>
    <t xml:space="preserve">Operating income (4,224) includes a $1,353mm acquisition termination cost (Arm deal), so FY2023 margin is understated versus the underlying business.</t>
  </si>
  <si>
    <t xml:space="preserve">NVIDIA FY2026 - Groq</t>
  </si>
  <si>
    <t xml:space="preserve">A $13,000mm Groq, Inc. payment in investing activities is NOT included in capex.</t>
  </si>
  <si>
    <t xml:space="preserve">Meta 2025 net income</t>
  </si>
  <si>
    <t xml:space="preserve">Net income fell in 2025 (60,458 vs 62,360) even though operating income rose, because the provision for income taxes jumped to 25,474 from 8,303 in 2024. Use operating margin for Meta.</t>
  </si>
  <si>
    <t xml:space="preserve">Net income distortions</t>
  </si>
  <si>
    <t xml:space="preserve">Net income includes investment gains/losses (e.g., Amazon 2021-2022 and 2025, NVIDIA FY2026). Operating margin is the cleaner profitability measure.</t>
  </si>
  <si>
    <t xml:space="preserve">Google 2019 op. income</t>
  </si>
  <si>
    <t xml:space="preserve">The FY2020 10-K text layer left the 2019 operating income cell blank in the income statement. Value 34,231 = 161,857 revenue - 127,626 total costs, and matches the same filing's segment note and 5-year table.</t>
  </si>
  <si>
    <t xml:space="preserve">CHECKS</t>
  </si>
  <si>
    <t xml:space="preserve">Google 2023 overlap</t>
  </si>
  <si>
    <t xml:space="preserve">2023 appears in both the FY2023 and FY2025 10-Ks with identical values for revenue (307,394), operating income (84,293), net income (73,795), R&amp;D (45,427) and capex (32,251): no restatement.</t>
  </si>
  <si>
    <t xml:space="preserve">Duplicate upload</t>
  </si>
  <si>
    <t xml:space="preserve">meta2020.pdf and meta2020__1_.pdf are the same FY2019 10-K. nvda-2026.pdf and nvda-20260125_htm.pdf are the same FY2025 (Jan 2026) 10-K.</t>
  </si>
  <si>
    <t xml:space="preserve">SOURCE</t>
  </si>
  <si>
    <t xml:space="preserve">Company Form 10-K filings from SEC EDGAR (Google = Alphabet Inc.); each Data row names its source filing. Where a year appears in two filings, the newer filing was used.</t>
  </si>
</sst>
</file>

<file path=xl/styles.xml><?xml version="1.0" encoding="utf-8"?>
<styleSheet xmlns="http://schemas.openxmlformats.org/spreadsheetml/2006/main">
  <numFmts count="4">
    <numFmt numFmtId="164" formatCode="General"/>
    <numFmt numFmtId="165" formatCode="yyyy\-mm\-dd"/>
    <numFmt numFmtId="166" formatCode="#,##0;\(#,##0\);\-"/>
    <numFmt numFmtId="167" formatCode="0.0%;\(0.0%\);\-"/>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color rgb="FF000000"/>
      <name val="Arial"/>
      <family val="0"/>
      <charset val="1"/>
    </font>
    <font>
      <sz val="11"/>
      <color rgb="FF0000FF"/>
      <name val="Arial"/>
      <family val="0"/>
      <charset val="1"/>
    </font>
    <font>
      <b val="true"/>
      <sz val="11"/>
      <name val="Arial"/>
      <family val="0"/>
      <charset val="1"/>
    </font>
    <font>
      <sz val="11"/>
      <name val="Arial"/>
      <family val="0"/>
      <charset val="1"/>
    </font>
    <font>
      <b val="true"/>
      <sz val="13"/>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4"/>
    <col collapsed="false" customWidth="true" hidden="false" outlineLevel="0" max="4" min="4" style="0" width="10"/>
    <col collapsed="false" customWidth="true" hidden="false" outlineLevel="0" max="5" min="5" style="0" width="14"/>
    <col collapsed="false" customWidth="true" hidden="false" outlineLevel="0" max="6" min="6" style="0" width="16"/>
    <col collapsed="false" customWidth="true" hidden="false" outlineLevel="0" max="7" min="7" style="0" width="14"/>
    <col collapsed="false" customWidth="true" hidden="false" outlineLevel="0" max="9" min="8" style="0" width="12"/>
    <col collapsed="false" customWidth="true" hidden="false" outlineLevel="0" max="10" min="10" style="0" width="46"/>
    <col collapsed="false" customWidth="true" hidden="false" outlineLevel="0" max="15" min="11" style="0" width="12"/>
    <col collapsed="false" customWidth="true" hidden="false" outlineLevel="0" max="16" min="16" style="0" width="14"/>
  </cols>
  <sheetData>
    <row r="1" customFormat="false" ht="33.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15" hidden="false" customHeight="false" outlineLevel="0" collapsed="false">
      <c r="A2" s="2" t="s">
        <v>16</v>
      </c>
      <c r="B2" s="3" t="s">
        <v>17</v>
      </c>
      <c r="C2" s="4" t="n">
        <v>43465</v>
      </c>
      <c r="D2" s="3" t="n">
        <v>2018</v>
      </c>
      <c r="E2" s="5" t="n">
        <v>232887</v>
      </c>
      <c r="F2" s="5" t="n">
        <v>12421</v>
      </c>
      <c r="G2" s="5" t="n">
        <v>10073</v>
      </c>
      <c r="H2" s="5" t="n">
        <v>28837</v>
      </c>
      <c r="I2" s="5" t="n">
        <v>13427</v>
      </c>
      <c r="J2" s="2" t="s">
        <v>18</v>
      </c>
      <c r="K2" s="6" t="str">
        <f aca="false">IF(AND(A2=A1,ISNUMBER(E2),ISNUMBER(E1)),E2/E1-1,"")</f>
        <v/>
      </c>
      <c r="L2" s="6" t="n">
        <f aca="false">IF(AND(ISNUMBER(E2),ISNUMBER(F2)),IF(E2=0,"",F2/E2),"")</f>
        <v>0.0533348791473977</v>
      </c>
      <c r="M2" s="6" t="n">
        <f aca="false">IF(AND(ISNUMBER(E2),ISNUMBER(G2)),IF(E2=0,"",G2/E2),"")</f>
        <v>0.0432527363055903</v>
      </c>
      <c r="N2" s="6" t="n">
        <f aca="false">IF(AND(ISNUMBER(E2),ISNUMBER(H2)),IF(E2=0,"",H2/E2),"")</f>
        <v>0.12382400048092</v>
      </c>
      <c r="O2" s="6" t="n">
        <f aca="false">IF(AND(ISNUMBER(E2),ISNUMBER(I2)),IF(E2=0,"",I2/E2),"")</f>
        <v>0.0576545706716133</v>
      </c>
      <c r="P2" s="6" t="n">
        <f aca="false">IF(AND(ISNUMBER(E2),ISNUMBER(H2),ISNUMBER(I2)),IF(E2=0,"",(H2+I2)/E2),"")</f>
        <v>0.181478571152533</v>
      </c>
    </row>
    <row r="3" customFormat="false" ht="15" hidden="false" customHeight="false" outlineLevel="0" collapsed="false">
      <c r="A3" s="2" t="s">
        <v>16</v>
      </c>
      <c r="B3" s="3" t="s">
        <v>19</v>
      </c>
      <c r="C3" s="4" t="n">
        <v>43830</v>
      </c>
      <c r="D3" s="3" t="n">
        <v>2019</v>
      </c>
      <c r="E3" s="5" t="n">
        <v>280522</v>
      </c>
      <c r="F3" s="5" t="n">
        <v>14541</v>
      </c>
      <c r="G3" s="5" t="n">
        <v>11588</v>
      </c>
      <c r="H3" s="5" t="n">
        <v>35931</v>
      </c>
      <c r="I3" s="5" t="n">
        <v>16861</v>
      </c>
      <c r="J3" s="2" t="s">
        <v>18</v>
      </c>
      <c r="K3" s="6" t="n">
        <f aca="false">IF(AND(A3=A2,ISNUMBER(E3),ISNUMBER(E2)),E3/E2-1,"")</f>
        <v>0.20454125820677</v>
      </c>
      <c r="L3" s="6" t="n">
        <f aca="false">IF(AND(ISNUMBER(E3),ISNUMBER(F3)),IF(E3=0,"",F3/E3),"")</f>
        <v>0.0518355066625791</v>
      </c>
      <c r="M3" s="6" t="n">
        <f aca="false">IF(AND(ISNUMBER(E3),ISNUMBER(G3)),IF(E3=0,"",G3/E3),"")</f>
        <v>0.0413087030607225</v>
      </c>
      <c r="N3" s="6" t="n">
        <f aca="false">IF(AND(ISNUMBER(E3),ISNUMBER(H3)),IF(E3=0,"",H3/E3),"")</f>
        <v>0.128086210707182</v>
      </c>
      <c r="O3" s="6" t="n">
        <f aca="false">IF(AND(ISNUMBER(E3),ISNUMBER(I3)),IF(E3=0,"",I3/E3),"")</f>
        <v>0.0601058027534382</v>
      </c>
      <c r="P3" s="6" t="n">
        <f aca="false">IF(AND(ISNUMBER(E3),ISNUMBER(H3),ISNUMBER(I3)),IF(E3=0,"",(H3+I3)/E3),"")</f>
        <v>0.18819201346062</v>
      </c>
    </row>
    <row r="4" customFormat="false" ht="15" hidden="false" customHeight="false" outlineLevel="0" collapsed="false">
      <c r="A4" s="2" t="s">
        <v>16</v>
      </c>
      <c r="B4" s="3" t="s">
        <v>20</v>
      </c>
      <c r="C4" s="4" t="n">
        <v>44196</v>
      </c>
      <c r="D4" s="3" t="n">
        <v>2020</v>
      </c>
      <c r="E4" s="5" t="n">
        <v>386064</v>
      </c>
      <c r="F4" s="5" t="n">
        <v>22899</v>
      </c>
      <c r="G4" s="5" t="n">
        <v>21331</v>
      </c>
      <c r="H4" s="5" t="n">
        <v>42740</v>
      </c>
      <c r="I4" s="5" t="n">
        <v>40140</v>
      </c>
      <c r="J4" s="2" t="s">
        <v>21</v>
      </c>
      <c r="K4" s="6" t="n">
        <f aca="false">IF(AND(A4=A3,ISNUMBER(E4),ISNUMBER(E3)),E4/E3-1,"")</f>
        <v>0.376234306043733</v>
      </c>
      <c r="L4" s="6" t="n">
        <f aca="false">IF(AND(ISNUMBER(E4),ISNUMBER(F4)),IF(E4=0,"",F4/E4),"")</f>
        <v>0.0593139997513366</v>
      </c>
      <c r="M4" s="6" t="n">
        <f aca="false">IF(AND(ISNUMBER(E4),ISNUMBER(G4)),IF(E4=0,"",G4/E4),"")</f>
        <v>0.0552524969953168</v>
      </c>
      <c r="N4" s="6" t="n">
        <f aca="false">IF(AND(ISNUMBER(E4),ISNUMBER(H4)),IF(E4=0,"",H4/E4),"")</f>
        <v>0.110707033030793</v>
      </c>
      <c r="O4" s="6" t="n">
        <f aca="false">IF(AND(ISNUMBER(E4),ISNUMBER(I4)),IF(E4=0,"",I4/E4),"")</f>
        <v>0.103972398358821</v>
      </c>
      <c r="P4" s="6" t="n">
        <f aca="false">IF(AND(ISNUMBER(E4),ISNUMBER(H4),ISNUMBER(I4)),IF(E4=0,"",(H4+I4)/E4),"")</f>
        <v>0.214679431389614</v>
      </c>
    </row>
    <row r="5" customFormat="false" ht="15" hidden="false" customHeight="false" outlineLevel="0" collapsed="false">
      <c r="A5" s="2" t="s">
        <v>16</v>
      </c>
      <c r="B5" s="3" t="s">
        <v>22</v>
      </c>
      <c r="C5" s="4" t="n">
        <v>44561</v>
      </c>
      <c r="D5" s="3" t="n">
        <v>2021</v>
      </c>
      <c r="E5" s="5" t="n">
        <v>469822</v>
      </c>
      <c r="F5" s="5" t="n">
        <v>24879</v>
      </c>
      <c r="G5" s="5" t="n">
        <v>33364</v>
      </c>
      <c r="H5" s="5" t="n">
        <v>56052</v>
      </c>
      <c r="I5" s="5" t="n">
        <v>61053</v>
      </c>
      <c r="J5" s="2" t="s">
        <v>21</v>
      </c>
      <c r="K5" s="6" t="n">
        <f aca="false">IF(AND(A5=A4,ISNUMBER(E5),ISNUMBER(E4)),E5/E4-1,"")</f>
        <v>0.216953665713457</v>
      </c>
      <c r="L5" s="6" t="n">
        <f aca="false">IF(AND(ISNUMBER(E5),ISNUMBER(F5)),IF(E5=0,"",F5/E5),"")</f>
        <v>0.0529540975092695</v>
      </c>
      <c r="M5" s="6" t="n">
        <f aca="false">IF(AND(ISNUMBER(E5),ISNUMBER(G5)),IF(E5=0,"",G5/E5),"")</f>
        <v>0.0710141287551456</v>
      </c>
      <c r="N5" s="6" t="n">
        <f aca="false">IF(AND(ISNUMBER(E5),ISNUMBER(H5)),IF(E5=0,"",H5/E5),"")</f>
        <v>0.119304757972168</v>
      </c>
      <c r="O5" s="6" t="n">
        <f aca="false">IF(AND(ISNUMBER(E5),ISNUMBER(I5)),IF(E5=0,"",I5/E5),"")</f>
        <v>0.129949214809013</v>
      </c>
      <c r="P5" s="6" t="n">
        <f aca="false">IF(AND(ISNUMBER(E5),ISNUMBER(H5),ISNUMBER(I5)),IF(E5=0,"",(H5+I5)/E5),"")</f>
        <v>0.249253972781181</v>
      </c>
    </row>
    <row r="6" customFormat="false" ht="15" hidden="false" customHeight="false" outlineLevel="0" collapsed="false">
      <c r="A6" s="2" t="s">
        <v>16</v>
      </c>
      <c r="B6" s="3" t="s">
        <v>23</v>
      </c>
      <c r="C6" s="4" t="n">
        <v>44926</v>
      </c>
      <c r="D6" s="3" t="n">
        <v>2022</v>
      </c>
      <c r="E6" s="5" t="n">
        <v>513983</v>
      </c>
      <c r="F6" s="5" t="n">
        <v>12248</v>
      </c>
      <c r="G6" s="5" t="n">
        <v>-2722</v>
      </c>
      <c r="H6" s="5" t="n">
        <v>73213</v>
      </c>
      <c r="I6" s="5" t="n">
        <v>63645</v>
      </c>
      <c r="J6" s="2" t="s">
        <v>21</v>
      </c>
      <c r="K6" s="6" t="n">
        <f aca="false">IF(AND(A6=A5,ISNUMBER(E6),ISNUMBER(E5)),E6/E5-1,"")</f>
        <v>0.0939951726398509</v>
      </c>
      <c r="L6" s="6" t="n">
        <f aca="false">IF(AND(ISNUMBER(E6),ISNUMBER(F6)),IF(E6=0,"",F6/E6),"")</f>
        <v>0.0238295819122422</v>
      </c>
      <c r="M6" s="6" t="n">
        <f aca="false">IF(AND(ISNUMBER(E6),ISNUMBER(G6)),IF(E6=0,"",G6/E6),"")</f>
        <v>-0.0052958950004183</v>
      </c>
      <c r="N6" s="6" t="n">
        <f aca="false">IF(AND(ISNUMBER(E6),ISNUMBER(H6)),IF(E6=0,"",H6/E6),"")</f>
        <v>0.142442454322419</v>
      </c>
      <c r="O6" s="6" t="n">
        <f aca="false">IF(AND(ISNUMBER(E6),ISNUMBER(I6)),IF(E6=0,"",I6/E6),"")</f>
        <v>0.12382705264571</v>
      </c>
      <c r="P6" s="6" t="n">
        <f aca="false">IF(AND(ISNUMBER(E6),ISNUMBER(H6),ISNUMBER(I6)),IF(E6=0,"",(H6+I6)/E6),"")</f>
        <v>0.266269506968129</v>
      </c>
    </row>
    <row r="7" customFormat="false" ht="15" hidden="false" customHeight="false" outlineLevel="0" collapsed="false">
      <c r="A7" s="2" t="s">
        <v>16</v>
      </c>
      <c r="B7" s="3" t="s">
        <v>24</v>
      </c>
      <c r="C7" s="4" t="n">
        <v>45291</v>
      </c>
      <c r="D7" s="3" t="n">
        <v>2023</v>
      </c>
      <c r="E7" s="5" t="n">
        <v>574785</v>
      </c>
      <c r="F7" s="5" t="n">
        <v>36852</v>
      </c>
      <c r="G7" s="5" t="n">
        <v>30425</v>
      </c>
      <c r="H7" s="5" t="n">
        <v>85622</v>
      </c>
      <c r="I7" s="5" t="n">
        <v>52729</v>
      </c>
      <c r="J7" s="2" t="s">
        <v>25</v>
      </c>
      <c r="K7" s="6" t="n">
        <f aca="false">IF(AND(A7=A6,ISNUMBER(E7),ISNUMBER(E6)),E7/E6-1,"")</f>
        <v>0.118295741298837</v>
      </c>
      <c r="L7" s="6" t="n">
        <f aca="false">IF(AND(ISNUMBER(E7),ISNUMBER(F7)),IF(E7=0,"",F7/E7),"")</f>
        <v>0.0641144079960333</v>
      </c>
      <c r="M7" s="6" t="n">
        <f aca="false">IF(AND(ISNUMBER(E7),ISNUMBER(G7)),IF(E7=0,"",G7/E7),"")</f>
        <v>0.0529328357559783</v>
      </c>
      <c r="N7" s="6" t="n">
        <f aca="false">IF(AND(ISNUMBER(E7),ISNUMBER(H7)),IF(E7=0,"",H7/E7),"")</f>
        <v>0.148963525492141</v>
      </c>
      <c r="O7" s="6" t="n">
        <f aca="false">IF(AND(ISNUMBER(E7),ISNUMBER(I7)),IF(E7=0,"",I7/E7),"")</f>
        <v>0.0917369103229903</v>
      </c>
      <c r="P7" s="6" t="n">
        <f aca="false">IF(AND(ISNUMBER(E7),ISNUMBER(H7),ISNUMBER(I7)),IF(E7=0,"",(H7+I7)/E7),"")</f>
        <v>0.240700435815131</v>
      </c>
    </row>
    <row r="8" customFormat="false" ht="15" hidden="false" customHeight="false" outlineLevel="0" collapsed="false">
      <c r="A8" s="2" t="s">
        <v>16</v>
      </c>
      <c r="B8" s="3" t="s">
        <v>26</v>
      </c>
      <c r="C8" s="4" t="n">
        <v>45657</v>
      </c>
      <c r="D8" s="3" t="n">
        <v>2024</v>
      </c>
      <c r="E8" s="5" t="n">
        <v>637959</v>
      </c>
      <c r="F8" s="5" t="n">
        <v>68593</v>
      </c>
      <c r="G8" s="5" t="n">
        <v>59248</v>
      </c>
      <c r="H8" s="5" t="n">
        <v>88544</v>
      </c>
      <c r="I8" s="5" t="n">
        <v>82999</v>
      </c>
      <c r="J8" s="2" t="s">
        <v>25</v>
      </c>
      <c r="K8" s="6" t="n">
        <f aca="false">IF(AND(A8=A7,ISNUMBER(E8),ISNUMBER(E7)),E8/E7-1,"")</f>
        <v>0.109908922466661</v>
      </c>
      <c r="L8" s="6" t="n">
        <f aca="false">IF(AND(ISNUMBER(E8),ISNUMBER(F8)),IF(E8=0,"",F8/E8),"")</f>
        <v>0.107519448742004</v>
      </c>
      <c r="M8" s="6" t="n">
        <f aca="false">IF(AND(ISNUMBER(E8),ISNUMBER(G8)),IF(E8=0,"",G8/E8),"")</f>
        <v>0.0928711719718665</v>
      </c>
      <c r="N8" s="6" t="n">
        <f aca="false">IF(AND(ISNUMBER(E8),ISNUMBER(H8)),IF(E8=0,"",H8/E8),"")</f>
        <v>0.138792618334407</v>
      </c>
      <c r="O8" s="6" t="n">
        <f aca="false">IF(AND(ISNUMBER(E8),ISNUMBER(I8)),IF(E8=0,"",I8/E8),"")</f>
        <v>0.130100837201137</v>
      </c>
      <c r="P8" s="6" t="n">
        <f aca="false">IF(AND(ISNUMBER(E8),ISNUMBER(H8),ISNUMBER(I8)),IF(E8=0,"",(H8+I8)/E8),"")</f>
        <v>0.268893455535544</v>
      </c>
    </row>
    <row r="9" customFormat="false" ht="15" hidden="false" customHeight="false" outlineLevel="0" collapsed="false">
      <c r="A9" s="2" t="s">
        <v>16</v>
      </c>
      <c r="B9" s="3" t="s">
        <v>27</v>
      </c>
      <c r="C9" s="4" t="n">
        <v>46022</v>
      </c>
      <c r="D9" s="3" t="n">
        <v>2025</v>
      </c>
      <c r="E9" s="5" t="n">
        <v>716924</v>
      </c>
      <c r="F9" s="5" t="n">
        <v>79975</v>
      </c>
      <c r="G9" s="5" t="n">
        <v>77670</v>
      </c>
      <c r="H9" s="5" t="n">
        <v>108521</v>
      </c>
      <c r="I9" s="5" t="n">
        <v>131819</v>
      </c>
      <c r="J9" s="2" t="s">
        <v>25</v>
      </c>
      <c r="K9" s="6" t="n">
        <f aca="false">IF(AND(A9=A8,ISNUMBER(E9),ISNUMBER(E8)),E9/E8-1,"")</f>
        <v>0.123777546832947</v>
      </c>
      <c r="L9" s="6" t="n">
        <f aca="false">IF(AND(ISNUMBER(E9),ISNUMBER(F9)),IF(E9=0,"",F9/E9),"")</f>
        <v>0.111552967957552</v>
      </c>
      <c r="M9" s="6" t="n">
        <f aca="false">IF(AND(ISNUMBER(E9),ISNUMBER(G9)),IF(E9=0,"",G9/E9),"")</f>
        <v>0.108337843341833</v>
      </c>
      <c r="N9" s="6" t="n">
        <f aca="false">IF(AND(ISNUMBER(E9),ISNUMBER(H9)),IF(E9=0,"",H9/E9),"")</f>
        <v>0.151370298664852</v>
      </c>
      <c r="O9" s="6" t="n">
        <f aca="false">IF(AND(ISNUMBER(E9),ISNUMBER(I9)),IF(E9=0,"",I9/E9),"")</f>
        <v>0.183867467123433</v>
      </c>
      <c r="P9" s="6" t="n">
        <f aca="false">IF(AND(ISNUMBER(E9),ISNUMBER(H9),ISNUMBER(I9)),IF(E9=0,"",(H9+I9)/E9),"")</f>
        <v>0.335237765788284</v>
      </c>
    </row>
    <row r="10" customFormat="false" ht="15" hidden="false" customHeight="false" outlineLevel="0" collapsed="false">
      <c r="A10" s="2" t="s">
        <v>28</v>
      </c>
      <c r="B10" s="3" t="s">
        <v>17</v>
      </c>
      <c r="C10" s="4" t="n">
        <v>43465</v>
      </c>
      <c r="D10" s="3" t="n">
        <v>2018</v>
      </c>
      <c r="E10" s="5" t="n">
        <v>136819</v>
      </c>
      <c r="F10" s="5" t="n">
        <v>27524</v>
      </c>
      <c r="G10" s="5" t="n">
        <v>30736</v>
      </c>
      <c r="H10" s="5" t="n">
        <v>21419</v>
      </c>
      <c r="I10" s="5" t="n">
        <v>25139</v>
      </c>
      <c r="J10" s="2" t="s">
        <v>29</v>
      </c>
      <c r="K10" s="6" t="str">
        <f aca="false">IF(AND(A10=A9,ISNUMBER(E10),ISNUMBER(E9)),E10/E9-1,"")</f>
        <v/>
      </c>
      <c r="L10" s="6" t="n">
        <f aca="false">IF(AND(ISNUMBER(E10),ISNUMBER(F10)),IF(E10=0,"",F10/E10),"")</f>
        <v>0.201170890007967</v>
      </c>
      <c r="M10" s="6" t="n">
        <f aca="false">IF(AND(ISNUMBER(E10),ISNUMBER(G10)),IF(E10=0,"",G10/E10),"")</f>
        <v>0.224647161578436</v>
      </c>
      <c r="N10" s="6" t="n">
        <f aca="false">IF(AND(ISNUMBER(E10),ISNUMBER(H10)),IF(E10=0,"",H10/E10),"")</f>
        <v>0.156549894386014</v>
      </c>
      <c r="O10" s="6" t="n">
        <f aca="false">IF(AND(ISNUMBER(E10),ISNUMBER(I10)),IF(E10=0,"",I10/E10),"")</f>
        <v>0.183739100563518</v>
      </c>
      <c r="P10" s="6" t="n">
        <f aca="false">IF(AND(ISNUMBER(E10),ISNUMBER(H10),ISNUMBER(I10)),IF(E10=0,"",(H10+I10)/E10),"")</f>
        <v>0.340288994949532</v>
      </c>
    </row>
    <row r="11" customFormat="false" ht="15" hidden="false" customHeight="false" outlineLevel="0" collapsed="false">
      <c r="A11" s="2" t="s">
        <v>28</v>
      </c>
      <c r="B11" s="3" t="s">
        <v>19</v>
      </c>
      <c r="C11" s="4" t="n">
        <v>43830</v>
      </c>
      <c r="D11" s="3" t="n">
        <v>2019</v>
      </c>
      <c r="E11" s="5" t="n">
        <v>161857</v>
      </c>
      <c r="F11" s="5" t="n">
        <v>34231</v>
      </c>
      <c r="G11" s="5" t="n">
        <v>34343</v>
      </c>
      <c r="H11" s="5" t="n">
        <v>26018</v>
      </c>
      <c r="I11" s="5" t="n">
        <v>23548</v>
      </c>
      <c r="J11" s="2" t="s">
        <v>29</v>
      </c>
      <c r="K11" s="6" t="n">
        <f aca="false">IF(AND(A11=A10,ISNUMBER(E11),ISNUMBER(E10)),E11/E10-1,"")</f>
        <v>0.183000898997946</v>
      </c>
      <c r="L11" s="6" t="n">
        <f aca="false">IF(AND(ISNUMBER(E11),ISNUMBER(F11)),IF(E11=0,"",F11/E11),"")</f>
        <v>0.211489154006314</v>
      </c>
      <c r="M11" s="6" t="n">
        <f aca="false">IF(AND(ISNUMBER(E11),ISNUMBER(G11)),IF(E11=0,"",G11/E11),"")</f>
        <v>0.212181122843003</v>
      </c>
      <c r="N11" s="6" t="n">
        <f aca="false">IF(AND(ISNUMBER(E11),ISNUMBER(H11)),IF(E11=0,"",H11/E11),"")</f>
        <v>0.16074683208017</v>
      </c>
      <c r="O11" s="6" t="n">
        <f aca="false">IF(AND(ISNUMBER(E11),ISNUMBER(I11)),IF(E11=0,"",I11/E11),"")</f>
        <v>0.145486447913899</v>
      </c>
      <c r="P11" s="6" t="n">
        <f aca="false">IF(AND(ISNUMBER(E11),ISNUMBER(H11),ISNUMBER(I11)),IF(E11=0,"",(H11+I11)/E11),"")</f>
        <v>0.306233279994069</v>
      </c>
    </row>
    <row r="12" customFormat="false" ht="15" hidden="false" customHeight="false" outlineLevel="0" collapsed="false">
      <c r="A12" s="2" t="s">
        <v>28</v>
      </c>
      <c r="B12" s="3" t="s">
        <v>20</v>
      </c>
      <c r="C12" s="4" t="n">
        <v>44196</v>
      </c>
      <c r="D12" s="3" t="n">
        <v>2020</v>
      </c>
      <c r="E12" s="5" t="n">
        <v>182527</v>
      </c>
      <c r="F12" s="5" t="n">
        <v>41224</v>
      </c>
      <c r="G12" s="5" t="n">
        <v>40269</v>
      </c>
      <c r="H12" s="5" t="n">
        <v>27573</v>
      </c>
      <c r="I12" s="5" t="n">
        <v>22281</v>
      </c>
      <c r="J12" s="2" t="s">
        <v>29</v>
      </c>
      <c r="K12" s="6" t="n">
        <f aca="false">IF(AND(A12=A11,ISNUMBER(E12),ISNUMBER(E11)),E12/E11-1,"")</f>
        <v>0.127705320128261</v>
      </c>
      <c r="L12" s="6" t="n">
        <f aca="false">IF(AND(ISNUMBER(E12),ISNUMBER(F12)),IF(E12=0,"",F12/E12),"")</f>
        <v>0.225851517857632</v>
      </c>
      <c r="M12" s="6" t="n">
        <f aca="false">IF(AND(ISNUMBER(E12),ISNUMBER(G12)),IF(E12=0,"",G12/E12),"")</f>
        <v>0.220619415209805</v>
      </c>
      <c r="N12" s="6" t="n">
        <f aca="false">IF(AND(ISNUMBER(E12),ISNUMBER(H12)),IF(E12=0,"",H12/E12),"")</f>
        <v>0.151062582522038</v>
      </c>
      <c r="O12" s="6" t="n">
        <f aca="false">IF(AND(ISNUMBER(E12),ISNUMBER(I12)),IF(E12=0,"",I12/E12),"")</f>
        <v>0.122069611619103</v>
      </c>
      <c r="P12" s="6" t="n">
        <f aca="false">IF(AND(ISNUMBER(E12),ISNUMBER(H12),ISNUMBER(I12)),IF(E12=0,"",(H12+I12)/E12),"")</f>
        <v>0.273132194141141</v>
      </c>
    </row>
    <row r="13" customFormat="false" ht="15" hidden="false" customHeight="false" outlineLevel="0" collapsed="false">
      <c r="A13" s="2" t="s">
        <v>28</v>
      </c>
      <c r="B13" s="3" t="s">
        <v>22</v>
      </c>
      <c r="C13" s="4" t="n">
        <v>44561</v>
      </c>
      <c r="D13" s="3" t="n">
        <v>2021</v>
      </c>
      <c r="E13" s="5" t="n">
        <v>257637</v>
      </c>
      <c r="F13" s="5" t="n">
        <v>78714</v>
      </c>
      <c r="G13" s="5" t="n">
        <v>76033</v>
      </c>
      <c r="H13" s="5" t="n">
        <v>31562</v>
      </c>
      <c r="I13" s="5" t="n">
        <v>24640</v>
      </c>
      <c r="J13" s="2" t="s">
        <v>30</v>
      </c>
      <c r="K13" s="6" t="n">
        <f aca="false">IF(AND(A13=A12,ISNUMBER(E13),ISNUMBER(E12)),E13/E12-1,"")</f>
        <v>0.411500764270492</v>
      </c>
      <c r="L13" s="6" t="n">
        <f aca="false">IF(AND(ISNUMBER(E13),ISNUMBER(F13)),IF(E13=0,"",F13/E13),"")</f>
        <v>0.305522886852432</v>
      </c>
      <c r="M13" s="6" t="n">
        <f aca="false">IF(AND(ISNUMBER(E13),ISNUMBER(G13)),IF(E13=0,"",G13/E13),"")</f>
        <v>0.295116772823779</v>
      </c>
      <c r="N13" s="6" t="n">
        <f aca="false">IF(AND(ISNUMBER(E13),ISNUMBER(H13)),IF(E13=0,"",H13/E13),"")</f>
        <v>0.122505695998634</v>
      </c>
      <c r="O13" s="6" t="n">
        <f aca="false">IF(AND(ISNUMBER(E13),ISNUMBER(I13)),IF(E13=0,"",I13/E13),"")</f>
        <v>0.0956384370257378</v>
      </c>
      <c r="P13" s="6" t="n">
        <f aca="false">IF(AND(ISNUMBER(E13),ISNUMBER(H13),ISNUMBER(I13)),IF(E13=0,"",(H13+I13)/E13),"")</f>
        <v>0.218144133024372</v>
      </c>
    </row>
    <row r="14" customFormat="false" ht="15" hidden="false" customHeight="false" outlineLevel="0" collapsed="false">
      <c r="A14" s="2" t="s">
        <v>28</v>
      </c>
      <c r="B14" s="3" t="s">
        <v>23</v>
      </c>
      <c r="C14" s="4" t="n">
        <v>44926</v>
      </c>
      <c r="D14" s="3" t="n">
        <v>2022</v>
      </c>
      <c r="E14" s="5" t="n">
        <v>282836</v>
      </c>
      <c r="F14" s="5" t="n">
        <v>74842</v>
      </c>
      <c r="G14" s="5" t="n">
        <v>59972</v>
      </c>
      <c r="H14" s="5" t="n">
        <v>39500</v>
      </c>
      <c r="I14" s="5" t="n">
        <v>31485</v>
      </c>
      <c r="J14" s="2" t="s">
        <v>30</v>
      </c>
      <c r="K14" s="6" t="n">
        <f aca="false">IF(AND(A14=A13,ISNUMBER(E14),ISNUMBER(E13)),E14/E13-1,"")</f>
        <v>0.0978081564371578</v>
      </c>
      <c r="L14" s="6" t="n">
        <f aca="false">IF(AND(ISNUMBER(E14),ISNUMBER(F14)),IF(E14=0,"",F14/E14),"")</f>
        <v>0.26461270842467</v>
      </c>
      <c r="M14" s="6" t="n">
        <f aca="false">IF(AND(ISNUMBER(E14),ISNUMBER(G14)),IF(E14=0,"",G14/E14),"")</f>
        <v>0.21203807153262</v>
      </c>
      <c r="N14" s="6" t="n">
        <f aca="false">IF(AND(ISNUMBER(E14),ISNUMBER(H14)),IF(E14=0,"",H14/E14),"")</f>
        <v>0.139656903647343</v>
      </c>
      <c r="O14" s="6" t="n">
        <f aca="false">IF(AND(ISNUMBER(E14),ISNUMBER(I14)),IF(E14=0,"",I14/E14),"")</f>
        <v>0.111318926869281</v>
      </c>
      <c r="P14" s="6" t="n">
        <f aca="false">IF(AND(ISNUMBER(E14),ISNUMBER(H14),ISNUMBER(I14)),IF(E14=0,"",(H14+I14)/E14),"")</f>
        <v>0.250975830516625</v>
      </c>
    </row>
    <row r="15" customFormat="false" ht="15" hidden="false" customHeight="false" outlineLevel="0" collapsed="false">
      <c r="A15" s="2" t="s">
        <v>28</v>
      </c>
      <c r="B15" s="3" t="s">
        <v>24</v>
      </c>
      <c r="C15" s="4" t="n">
        <v>45291</v>
      </c>
      <c r="D15" s="3" t="n">
        <v>2023</v>
      </c>
      <c r="E15" s="5" t="n">
        <v>307394</v>
      </c>
      <c r="F15" s="5" t="n">
        <v>84293</v>
      </c>
      <c r="G15" s="5" t="n">
        <v>73795</v>
      </c>
      <c r="H15" s="5" t="n">
        <v>45427</v>
      </c>
      <c r="I15" s="5" t="n">
        <v>32251</v>
      </c>
      <c r="J15" s="2" t="s">
        <v>31</v>
      </c>
      <c r="K15" s="6" t="n">
        <f aca="false">IF(AND(A15=A14,ISNUMBER(E15),ISNUMBER(E14)),E15/E14-1,"")</f>
        <v>0.0868277022726951</v>
      </c>
      <c r="L15" s="6" t="n">
        <f aca="false">IF(AND(ISNUMBER(E15),ISNUMBER(F15)),IF(E15=0,"",F15/E15),"")</f>
        <v>0.274218104452266</v>
      </c>
      <c r="M15" s="6" t="n">
        <f aca="false">IF(AND(ISNUMBER(E15),ISNUMBER(G15)),IF(E15=0,"",G15/E15),"")</f>
        <v>0.240066494466385</v>
      </c>
      <c r="N15" s="6" t="n">
        <f aca="false">IF(AND(ISNUMBER(E15),ISNUMBER(H15)),IF(E15=0,"",H15/E15),"")</f>
        <v>0.14778102370248</v>
      </c>
      <c r="O15" s="6" t="n">
        <f aca="false">IF(AND(ISNUMBER(E15),ISNUMBER(I15)),IF(E15=0,"",I15/E15),"")</f>
        <v>0.104917467484726</v>
      </c>
      <c r="P15" s="6" t="n">
        <f aca="false">IF(AND(ISNUMBER(E15),ISNUMBER(H15),ISNUMBER(I15)),IF(E15=0,"",(H15+I15)/E15),"")</f>
        <v>0.252698491187206</v>
      </c>
    </row>
    <row r="16" customFormat="false" ht="15" hidden="false" customHeight="false" outlineLevel="0" collapsed="false">
      <c r="A16" s="2" t="s">
        <v>28</v>
      </c>
      <c r="B16" s="3" t="s">
        <v>26</v>
      </c>
      <c r="C16" s="4" t="n">
        <v>45657</v>
      </c>
      <c r="D16" s="3" t="n">
        <v>2024</v>
      </c>
      <c r="E16" s="5" t="n">
        <v>350018</v>
      </c>
      <c r="F16" s="5" t="n">
        <v>112390</v>
      </c>
      <c r="G16" s="5" t="n">
        <v>100118</v>
      </c>
      <c r="H16" s="5" t="n">
        <v>49326</v>
      </c>
      <c r="I16" s="5" t="n">
        <v>52535</v>
      </c>
      <c r="J16" s="2" t="s">
        <v>32</v>
      </c>
      <c r="K16" s="6" t="n">
        <f aca="false">IF(AND(A16=A15,ISNUMBER(E16),ISNUMBER(E15)),E16/E15-1,"")</f>
        <v>0.138662433229016</v>
      </c>
      <c r="L16" s="6" t="n">
        <f aca="false">IF(AND(ISNUMBER(E16),ISNUMBER(F16)),IF(E16=0,"",F16/E16),"")</f>
        <v>0.321097772114577</v>
      </c>
      <c r="M16" s="6" t="n">
        <f aca="false">IF(AND(ISNUMBER(E16),ISNUMBER(G16)),IF(E16=0,"",G16/E16),"")</f>
        <v>0.28603671811164</v>
      </c>
      <c r="N16" s="6" t="n">
        <f aca="false">IF(AND(ISNUMBER(E16),ISNUMBER(H16)),IF(E16=0,"",H16/E16),"")</f>
        <v>0.140924181042118</v>
      </c>
      <c r="O16" s="6" t="n">
        <f aca="false">IF(AND(ISNUMBER(E16),ISNUMBER(I16)),IF(E16=0,"",I16/E16),"")</f>
        <v>0.150092280968407</v>
      </c>
      <c r="P16" s="6" t="n">
        <f aca="false">IF(AND(ISNUMBER(E16),ISNUMBER(H16),ISNUMBER(I16)),IF(E16=0,"",(H16+I16)/E16),"")</f>
        <v>0.291016462010525</v>
      </c>
    </row>
    <row r="17" customFormat="false" ht="15" hidden="false" customHeight="false" outlineLevel="0" collapsed="false">
      <c r="A17" s="2" t="s">
        <v>28</v>
      </c>
      <c r="B17" s="3" t="s">
        <v>27</v>
      </c>
      <c r="C17" s="4" t="n">
        <v>46022</v>
      </c>
      <c r="D17" s="3" t="n">
        <v>2025</v>
      </c>
      <c r="E17" s="5" t="n">
        <v>402836</v>
      </c>
      <c r="F17" s="5" t="n">
        <v>129039</v>
      </c>
      <c r="G17" s="5" t="n">
        <v>132170</v>
      </c>
      <c r="H17" s="5" t="n">
        <v>61087</v>
      </c>
      <c r="I17" s="5" t="n">
        <v>91447</v>
      </c>
      <c r="J17" s="2" t="s">
        <v>32</v>
      </c>
      <c r="K17" s="6" t="n">
        <f aca="false">IF(AND(A17=A16,ISNUMBER(E17),ISNUMBER(E16)),E17/E16-1,"")</f>
        <v>0.150900810815444</v>
      </c>
      <c r="L17" s="6" t="n">
        <f aca="false">IF(AND(ISNUMBER(E17),ISNUMBER(F17)),IF(E17=0,"",F17/E17),"")</f>
        <v>0.3203263859238</v>
      </c>
      <c r="M17" s="6" t="n">
        <f aca="false">IF(AND(ISNUMBER(E17),ISNUMBER(G17)),IF(E17=0,"",G17/E17),"")</f>
        <v>0.328098779652265</v>
      </c>
      <c r="N17" s="6" t="n">
        <f aca="false">IF(AND(ISNUMBER(E17),ISNUMBER(H17)),IF(E17=0,"",H17/E17),"")</f>
        <v>0.1516423556981</v>
      </c>
      <c r="O17" s="6" t="n">
        <f aca="false">IF(AND(ISNUMBER(E17),ISNUMBER(I17)),IF(E17=0,"",I17/E17),"")</f>
        <v>0.227008013186508</v>
      </c>
      <c r="P17" s="6" t="n">
        <f aca="false">IF(AND(ISNUMBER(E17),ISNUMBER(H17),ISNUMBER(I17)),IF(E17=0,"",(H17+I17)/E17),"")</f>
        <v>0.378650368884608</v>
      </c>
    </row>
    <row r="18" customFormat="false" ht="15" hidden="false" customHeight="false" outlineLevel="0" collapsed="false">
      <c r="A18" s="2" t="s">
        <v>33</v>
      </c>
      <c r="B18" s="3" t="s">
        <v>17</v>
      </c>
      <c r="C18" s="4" t="n">
        <v>43465</v>
      </c>
      <c r="D18" s="3" t="n">
        <v>2018</v>
      </c>
      <c r="E18" s="5" t="n">
        <v>55838</v>
      </c>
      <c r="F18" s="5" t="n">
        <v>24913</v>
      </c>
      <c r="G18" s="5" t="n">
        <v>22112</v>
      </c>
      <c r="H18" s="5" t="n">
        <v>10273</v>
      </c>
      <c r="I18" s="5" t="n">
        <v>13915</v>
      </c>
      <c r="J18" s="2" t="s">
        <v>34</v>
      </c>
      <c r="K18" s="6" t="str">
        <f aca="false">IF(AND(A18=A17,ISNUMBER(E18),ISNUMBER(E17)),E18/E17-1,"")</f>
        <v/>
      </c>
      <c r="L18" s="6" t="n">
        <f aca="false">IF(AND(ISNUMBER(E18),ISNUMBER(F18)),IF(E18=0,"",F18/E18),"")</f>
        <v>0.446165693613668</v>
      </c>
      <c r="M18" s="6" t="n">
        <f aca="false">IF(AND(ISNUMBER(E18),ISNUMBER(G18)),IF(E18=0,"",G18/E18),"")</f>
        <v>0.396002722160536</v>
      </c>
      <c r="N18" s="6" t="n">
        <f aca="false">IF(AND(ISNUMBER(E18),ISNUMBER(H18)),IF(E18=0,"",H18/E18),"")</f>
        <v>0.183978652530535</v>
      </c>
      <c r="O18" s="6" t="n">
        <f aca="false">IF(AND(ISNUMBER(E18),ISNUMBER(I18)),IF(E18=0,"",I18/E18),"")</f>
        <v>0.249203051685232</v>
      </c>
      <c r="P18" s="6" t="n">
        <f aca="false">IF(AND(ISNUMBER(E18),ISNUMBER(H18),ISNUMBER(I18)),IF(E18=0,"",(H18+I18)/E18),"")</f>
        <v>0.433181704215767</v>
      </c>
    </row>
    <row r="19" customFormat="false" ht="15" hidden="false" customHeight="false" outlineLevel="0" collapsed="false">
      <c r="A19" s="2" t="s">
        <v>33</v>
      </c>
      <c r="B19" s="3" t="s">
        <v>19</v>
      </c>
      <c r="C19" s="4" t="n">
        <v>43830</v>
      </c>
      <c r="D19" s="3" t="n">
        <v>2019</v>
      </c>
      <c r="E19" s="5" t="n">
        <v>70697</v>
      </c>
      <c r="F19" s="5" t="n">
        <v>23986</v>
      </c>
      <c r="G19" s="5" t="n">
        <v>18485</v>
      </c>
      <c r="H19" s="5" t="n">
        <v>13600</v>
      </c>
      <c r="I19" s="5" t="n">
        <v>15102</v>
      </c>
      <c r="J19" s="2" t="s">
        <v>34</v>
      </c>
      <c r="K19" s="6" t="n">
        <f aca="false">IF(AND(A19=A18,ISNUMBER(E19),ISNUMBER(E18)),E19/E18-1,"")</f>
        <v>0.266109101328844</v>
      </c>
      <c r="L19" s="6" t="n">
        <f aca="false">IF(AND(ISNUMBER(E19),ISNUMBER(F19)),IF(E19=0,"",F19/E19),"")</f>
        <v>0.339278894436822</v>
      </c>
      <c r="M19" s="6" t="n">
        <f aca="false">IF(AND(ISNUMBER(E19),ISNUMBER(G19)),IF(E19=0,"",G19/E19),"")</f>
        <v>0.26146795479299</v>
      </c>
      <c r="N19" s="6" t="n">
        <f aca="false">IF(AND(ISNUMBER(E19),ISNUMBER(H19)),IF(E19=0,"",H19/E19),"")</f>
        <v>0.192370256163628</v>
      </c>
      <c r="O19" s="6" t="n">
        <f aca="false">IF(AND(ISNUMBER(E19),ISNUMBER(I19)),IF(E19=0,"",I19/E19),"")</f>
        <v>0.213615853572287</v>
      </c>
      <c r="P19" s="6" t="n">
        <f aca="false">IF(AND(ISNUMBER(E19),ISNUMBER(H19),ISNUMBER(I19)),IF(E19=0,"",(H19+I19)/E19),"")</f>
        <v>0.405986109735915</v>
      </c>
    </row>
    <row r="20" customFormat="false" ht="15" hidden="false" customHeight="false" outlineLevel="0" collapsed="false">
      <c r="A20" s="2" t="s">
        <v>33</v>
      </c>
      <c r="B20" s="3" t="s">
        <v>20</v>
      </c>
      <c r="C20" s="4" t="n">
        <v>44196</v>
      </c>
      <c r="D20" s="3" t="n">
        <v>2020</v>
      </c>
      <c r="E20" s="5" t="n">
        <v>85965</v>
      </c>
      <c r="F20" s="5" t="n">
        <v>32671</v>
      </c>
      <c r="G20" s="5" t="n">
        <v>29146</v>
      </c>
      <c r="H20" s="5" t="n">
        <v>18447</v>
      </c>
      <c r="I20" s="5" t="n">
        <v>15163</v>
      </c>
      <c r="J20" s="2" t="s">
        <v>35</v>
      </c>
      <c r="K20" s="6" t="n">
        <f aca="false">IF(AND(A20=A19,ISNUMBER(E20),ISNUMBER(E19)),E20/E19-1,"")</f>
        <v>0.215963902287226</v>
      </c>
      <c r="L20" s="6" t="n">
        <f aca="false">IF(AND(ISNUMBER(E20),ISNUMBER(F20)),IF(E20=0,"",F20/E20),"")</f>
        <v>0.380050020357122</v>
      </c>
      <c r="M20" s="6" t="n">
        <f aca="false">IF(AND(ISNUMBER(E20),ISNUMBER(G20)),IF(E20=0,"",G20/E20),"")</f>
        <v>0.339044960158204</v>
      </c>
      <c r="N20" s="6" t="n">
        <f aca="false">IF(AND(ISNUMBER(E20),ISNUMBER(H20)),IF(E20=0,"",H20/E20),"")</f>
        <v>0.214587332053743</v>
      </c>
      <c r="O20" s="6" t="n">
        <f aca="false">IF(AND(ISNUMBER(E20),ISNUMBER(I20)),IF(E20=0,"",I20/E20),"")</f>
        <v>0.1763857383819</v>
      </c>
      <c r="P20" s="6" t="n">
        <f aca="false">IF(AND(ISNUMBER(E20),ISNUMBER(H20),ISNUMBER(I20)),IF(E20=0,"",(H20+I20)/E20),"")</f>
        <v>0.390973070435642</v>
      </c>
    </row>
    <row r="21" customFormat="false" ht="15" hidden="false" customHeight="false" outlineLevel="0" collapsed="false">
      <c r="A21" s="2" t="s">
        <v>33</v>
      </c>
      <c r="B21" s="3" t="s">
        <v>22</v>
      </c>
      <c r="C21" s="4" t="n">
        <v>44561</v>
      </c>
      <c r="D21" s="3" t="n">
        <v>2021</v>
      </c>
      <c r="E21" s="5" t="n">
        <v>117929</v>
      </c>
      <c r="F21" s="5" t="n">
        <v>46753</v>
      </c>
      <c r="G21" s="5" t="n">
        <v>39370</v>
      </c>
      <c r="H21" s="5" t="n">
        <v>24655</v>
      </c>
      <c r="I21" s="5" t="n">
        <v>18690</v>
      </c>
      <c r="J21" s="2" t="s">
        <v>35</v>
      </c>
      <c r="K21" s="6" t="n">
        <f aca="false">IF(AND(A21=A20,ISNUMBER(E21),ISNUMBER(E20)),E21/E20-1,"")</f>
        <v>0.371825743034956</v>
      </c>
      <c r="L21" s="6" t="n">
        <f aca="false">IF(AND(ISNUMBER(E21),ISNUMBER(F21)),IF(E21=0,"",F21/E21),"")</f>
        <v>0.396450406600582</v>
      </c>
      <c r="M21" s="6" t="n">
        <f aca="false">IF(AND(ISNUMBER(E21),ISNUMBER(G21)),IF(E21=0,"",G21/E21),"")</f>
        <v>0.333844940599853</v>
      </c>
      <c r="N21" s="6" t="n">
        <f aca="false">IF(AND(ISNUMBER(E21),ISNUMBER(H21)),IF(E21=0,"",H21/E21),"")</f>
        <v>0.209066472199374</v>
      </c>
      <c r="O21" s="6" t="n">
        <f aca="false">IF(AND(ISNUMBER(E21),ISNUMBER(I21)),IF(E21=0,"",I21/E21),"")</f>
        <v>0.158485190241586</v>
      </c>
      <c r="P21" s="6" t="n">
        <f aca="false">IF(AND(ISNUMBER(E21),ISNUMBER(H21),ISNUMBER(I21)),IF(E21=0,"",(H21+I21)/E21),"")</f>
        <v>0.36755166244096</v>
      </c>
    </row>
    <row r="22" customFormat="false" ht="15" hidden="false" customHeight="false" outlineLevel="0" collapsed="false">
      <c r="A22" s="2" t="s">
        <v>33</v>
      </c>
      <c r="B22" s="3" t="s">
        <v>23</v>
      </c>
      <c r="C22" s="4" t="n">
        <v>44926</v>
      </c>
      <c r="D22" s="3" t="n">
        <v>2022</v>
      </c>
      <c r="E22" s="5" t="n">
        <v>116609</v>
      </c>
      <c r="F22" s="5" t="n">
        <v>28944</v>
      </c>
      <c r="G22" s="5" t="n">
        <v>23200</v>
      </c>
      <c r="H22" s="5" t="n">
        <v>35338</v>
      </c>
      <c r="I22" s="5" t="n">
        <v>31431</v>
      </c>
      <c r="J22" s="2" t="s">
        <v>35</v>
      </c>
      <c r="K22" s="6" t="n">
        <f aca="false">IF(AND(A22=A21,ISNUMBER(E22),ISNUMBER(E21)),E22/E21-1,"")</f>
        <v>-0.0111931755547829</v>
      </c>
      <c r="L22" s="6" t="n">
        <f aca="false">IF(AND(ISNUMBER(E22),ISNUMBER(F22)),IF(E22=0,"",F22/E22),"")</f>
        <v>0.248214117263676</v>
      </c>
      <c r="M22" s="6" t="n">
        <f aca="false">IF(AND(ISNUMBER(E22),ISNUMBER(G22)),IF(E22=0,"",G22/E22),"")</f>
        <v>0.19895548371052</v>
      </c>
      <c r="N22" s="6" t="n">
        <f aca="false">IF(AND(ISNUMBER(E22),ISNUMBER(H22)),IF(E22=0,"",H22/E22),"")</f>
        <v>0.303046934627687</v>
      </c>
      <c r="O22" s="6" t="n">
        <f aca="false">IF(AND(ISNUMBER(E22),ISNUMBER(I22)),IF(E22=0,"",I22/E22),"")</f>
        <v>0.269541802090748</v>
      </c>
      <c r="P22" s="6" t="n">
        <f aca="false">IF(AND(ISNUMBER(E22),ISNUMBER(H22),ISNUMBER(I22)),IF(E22=0,"",(H22+I22)/E22),"")</f>
        <v>0.572588736718435</v>
      </c>
    </row>
    <row r="23" customFormat="false" ht="15" hidden="false" customHeight="false" outlineLevel="0" collapsed="false">
      <c r="A23" s="2" t="s">
        <v>33</v>
      </c>
      <c r="B23" s="3" t="s">
        <v>24</v>
      </c>
      <c r="C23" s="4" t="n">
        <v>45291</v>
      </c>
      <c r="D23" s="3" t="n">
        <v>2023</v>
      </c>
      <c r="E23" s="5" t="n">
        <v>134902</v>
      </c>
      <c r="F23" s="5" t="n">
        <v>46751</v>
      </c>
      <c r="G23" s="5" t="n">
        <v>39098</v>
      </c>
      <c r="H23" s="5" t="n">
        <v>38483</v>
      </c>
      <c r="I23" s="5" t="n">
        <v>27045</v>
      </c>
      <c r="J23" s="2" t="s">
        <v>36</v>
      </c>
      <c r="K23" s="6" t="n">
        <f aca="false">IF(AND(A23=A22,ISNUMBER(E23),ISNUMBER(E22)),E23/E22-1,"")</f>
        <v>0.156874683772265</v>
      </c>
      <c r="L23" s="6" t="n">
        <f aca="false">IF(AND(ISNUMBER(E23),ISNUMBER(F23)),IF(E23=0,"",F23/E23),"")</f>
        <v>0.346555277164164</v>
      </c>
      <c r="M23" s="6" t="n">
        <f aca="false">IF(AND(ISNUMBER(E23),ISNUMBER(G23)),IF(E23=0,"",G23/E23),"")</f>
        <v>0.289825206446161</v>
      </c>
      <c r="N23" s="6" t="n">
        <f aca="false">IF(AND(ISNUMBER(E23),ISNUMBER(H23)),IF(E23=0,"",H23/E23),"")</f>
        <v>0.285266341492343</v>
      </c>
      <c r="O23" s="6" t="n">
        <f aca="false">IF(AND(ISNUMBER(E23),ISNUMBER(I23)),IF(E23=0,"",I23/E23),"")</f>
        <v>0.200478866139865</v>
      </c>
      <c r="P23" s="6" t="n">
        <f aca="false">IF(AND(ISNUMBER(E23),ISNUMBER(H23),ISNUMBER(I23)),IF(E23=0,"",(H23+I23)/E23),"")</f>
        <v>0.485745207632207</v>
      </c>
    </row>
    <row r="24" customFormat="false" ht="15" hidden="false" customHeight="false" outlineLevel="0" collapsed="false">
      <c r="A24" s="2" t="s">
        <v>33</v>
      </c>
      <c r="B24" s="3" t="s">
        <v>26</v>
      </c>
      <c r="C24" s="4" t="n">
        <v>45657</v>
      </c>
      <c r="D24" s="3" t="n">
        <v>2024</v>
      </c>
      <c r="E24" s="5" t="n">
        <v>164501</v>
      </c>
      <c r="F24" s="5" t="n">
        <v>69380</v>
      </c>
      <c r="G24" s="5" t="n">
        <v>62360</v>
      </c>
      <c r="H24" s="5" t="n">
        <v>43873</v>
      </c>
      <c r="I24" s="5" t="n">
        <v>37256</v>
      </c>
      <c r="J24" s="2" t="s">
        <v>36</v>
      </c>
      <c r="K24" s="6" t="n">
        <f aca="false">IF(AND(A24=A23,ISNUMBER(E24),ISNUMBER(E23)),E24/E23-1,"")</f>
        <v>0.219411128078161</v>
      </c>
      <c r="L24" s="6" t="n">
        <f aca="false">IF(AND(ISNUMBER(E24),ISNUMBER(F24)),IF(E24=0,"",F24/E24),"")</f>
        <v>0.421760354040401</v>
      </c>
      <c r="M24" s="6" t="n">
        <f aca="false">IF(AND(ISNUMBER(E24),ISNUMBER(G24)),IF(E24=0,"",G24/E24),"")</f>
        <v>0.379085841423456</v>
      </c>
      <c r="N24" s="6" t="n">
        <f aca="false">IF(AND(ISNUMBER(E24),ISNUMBER(H24)),IF(E24=0,"",H24/E24),"")</f>
        <v>0.266703545875101</v>
      </c>
      <c r="O24" s="6" t="n">
        <f aca="false">IF(AND(ISNUMBER(E24),ISNUMBER(I24)),IF(E24=0,"",I24/E24),"")</f>
        <v>0.22647886638987</v>
      </c>
      <c r="P24" s="6" t="n">
        <f aca="false">IF(AND(ISNUMBER(E24),ISNUMBER(H24),ISNUMBER(I24)),IF(E24=0,"",(H24+I24)/E24),"")</f>
        <v>0.493182412264971</v>
      </c>
    </row>
    <row r="25" customFormat="false" ht="15" hidden="false" customHeight="false" outlineLevel="0" collapsed="false">
      <c r="A25" s="2" t="s">
        <v>33</v>
      </c>
      <c r="B25" s="3" t="s">
        <v>27</v>
      </c>
      <c r="C25" s="4" t="n">
        <v>46022</v>
      </c>
      <c r="D25" s="3" t="n">
        <v>2025</v>
      </c>
      <c r="E25" s="5" t="n">
        <v>200966</v>
      </c>
      <c r="F25" s="5" t="n">
        <v>83276</v>
      </c>
      <c r="G25" s="5" t="n">
        <v>60458</v>
      </c>
      <c r="H25" s="5" t="n">
        <v>57372</v>
      </c>
      <c r="I25" s="5" t="n">
        <v>69691</v>
      </c>
      <c r="J25" s="2" t="s">
        <v>36</v>
      </c>
      <c r="K25" s="6" t="n">
        <f aca="false">IF(AND(A25=A24,ISNUMBER(E25),ISNUMBER(E24)),E25/E24-1,"")</f>
        <v>0.221670384982462</v>
      </c>
      <c r="L25" s="6" t="n">
        <f aca="false">IF(AND(ISNUMBER(E25),ISNUMBER(F25)),IF(E25=0,"",F25/E25),"")</f>
        <v>0.414378551595792</v>
      </c>
      <c r="M25" s="6" t="n">
        <f aca="false">IF(AND(ISNUMBER(E25),ISNUMBER(G25)),IF(E25=0,"",G25/E25),"")</f>
        <v>0.300836957495298</v>
      </c>
      <c r="N25" s="6" t="n">
        <f aca="false">IF(AND(ISNUMBER(E25),ISNUMBER(H25)),IF(E25=0,"",H25/E25),"")</f>
        <v>0.285481126160644</v>
      </c>
      <c r="O25" s="6" t="n">
        <f aca="false">IF(AND(ISNUMBER(E25),ISNUMBER(I25)),IF(E25=0,"",I25/E25),"")</f>
        <v>0.346780052347163</v>
      </c>
      <c r="P25" s="6" t="n">
        <f aca="false">IF(AND(ISNUMBER(E25),ISNUMBER(H25),ISNUMBER(I25)),IF(E25=0,"",(H25+I25)/E25),"")</f>
        <v>0.632261178507807</v>
      </c>
    </row>
    <row r="26" customFormat="false" ht="15" hidden="false" customHeight="false" outlineLevel="0" collapsed="false">
      <c r="A26" s="2" t="s">
        <v>37</v>
      </c>
      <c r="B26" s="3" t="s">
        <v>19</v>
      </c>
      <c r="C26" s="4" t="n">
        <v>43646</v>
      </c>
      <c r="D26" s="3" t="n">
        <v>2018</v>
      </c>
      <c r="E26" s="5" t="n">
        <v>125843</v>
      </c>
      <c r="F26" s="5" t="n">
        <v>42959</v>
      </c>
      <c r="G26" s="5" t="n">
        <v>39240</v>
      </c>
      <c r="H26" s="5" t="n">
        <v>16876</v>
      </c>
      <c r="I26" s="5" t="n">
        <v>13925</v>
      </c>
      <c r="J26" s="2" t="s">
        <v>38</v>
      </c>
      <c r="K26" s="6" t="str">
        <f aca="false">IF(AND(A26=A25,ISNUMBER(E26),ISNUMBER(E25)),E26/E25-1,"")</f>
        <v/>
      </c>
      <c r="L26" s="6" t="n">
        <f aca="false">IF(AND(ISNUMBER(E26),ISNUMBER(F26)),IF(E26=0,"",F26/E26),"")</f>
        <v>0.341369802054942</v>
      </c>
      <c r="M26" s="6" t="n">
        <f aca="false">IF(AND(ISNUMBER(E26),ISNUMBER(G26)),IF(E26=0,"",G26/E26),"")</f>
        <v>0.311817105440907</v>
      </c>
      <c r="N26" s="6" t="n">
        <f aca="false">IF(AND(ISNUMBER(E26),ISNUMBER(H26)),IF(E26=0,"",H26/E26),"")</f>
        <v>0.134103605285952</v>
      </c>
      <c r="O26" s="6" t="n">
        <f aca="false">IF(AND(ISNUMBER(E26),ISNUMBER(I26)),IF(E26=0,"",I26/E26),"")</f>
        <v>0.110653751102564</v>
      </c>
      <c r="P26" s="6" t="n">
        <f aca="false">IF(AND(ISNUMBER(E26),ISNUMBER(H26),ISNUMBER(I26)),IF(E26=0,"",(H26+I26)/E26),"")</f>
        <v>0.244757356388516</v>
      </c>
    </row>
    <row r="27" customFormat="false" ht="15" hidden="false" customHeight="false" outlineLevel="0" collapsed="false">
      <c r="A27" s="2" t="s">
        <v>37</v>
      </c>
      <c r="B27" s="3" t="s">
        <v>20</v>
      </c>
      <c r="C27" s="4" t="n">
        <v>44012</v>
      </c>
      <c r="D27" s="3" t="n">
        <v>2019</v>
      </c>
      <c r="E27" s="5" t="n">
        <v>143015</v>
      </c>
      <c r="F27" s="5" t="n">
        <v>52959</v>
      </c>
      <c r="G27" s="5" t="n">
        <v>44281</v>
      </c>
      <c r="H27" s="5" t="n">
        <v>19269</v>
      </c>
      <c r="I27" s="5" t="n">
        <v>15441</v>
      </c>
      <c r="J27" s="2" t="s">
        <v>38</v>
      </c>
      <c r="K27" s="6" t="n">
        <f aca="false">IF(AND(A27=A26,ISNUMBER(E27),ISNUMBER(E26)),E27/E26-1,"")</f>
        <v>0.136455742472764</v>
      </c>
      <c r="L27" s="6" t="n">
        <f aca="false">IF(AND(ISNUMBER(E27),ISNUMBER(F27)),IF(E27=0,"",F27/E27),"")</f>
        <v>0.370303814285215</v>
      </c>
      <c r="M27" s="6" t="n">
        <f aca="false">IF(AND(ISNUMBER(E27),ISNUMBER(G27)),IF(E27=0,"",G27/E27),"")</f>
        <v>0.3096248645247</v>
      </c>
      <c r="N27" s="6" t="n">
        <f aca="false">IF(AND(ISNUMBER(E27),ISNUMBER(H27)),IF(E27=0,"",H27/E27),"")</f>
        <v>0.134734118798727</v>
      </c>
      <c r="O27" s="6" t="n">
        <f aca="false">IF(AND(ISNUMBER(E27),ISNUMBER(I27)),IF(E27=0,"",I27/E27),"")</f>
        <v>0.107967695696256</v>
      </c>
      <c r="P27" s="6" t="n">
        <f aca="false">IF(AND(ISNUMBER(E27),ISNUMBER(H27),ISNUMBER(I27)),IF(E27=0,"",(H27+I27)/E27),"")</f>
        <v>0.242701814494983</v>
      </c>
    </row>
    <row r="28" customFormat="false" ht="15" hidden="false" customHeight="false" outlineLevel="0" collapsed="false">
      <c r="A28" s="2" t="s">
        <v>37</v>
      </c>
      <c r="B28" s="3" t="s">
        <v>22</v>
      </c>
      <c r="C28" s="4" t="n">
        <v>44377</v>
      </c>
      <c r="D28" s="3" t="n">
        <v>2020</v>
      </c>
      <c r="E28" s="5" t="n">
        <v>168088</v>
      </c>
      <c r="F28" s="5" t="n">
        <v>69916</v>
      </c>
      <c r="G28" s="5" t="n">
        <v>61271</v>
      </c>
      <c r="H28" s="5" t="n">
        <v>20716</v>
      </c>
      <c r="I28" s="5" t="n">
        <v>20622</v>
      </c>
      <c r="J28" s="2" t="s">
        <v>39</v>
      </c>
      <c r="K28" s="6" t="n">
        <f aca="false">IF(AND(A28=A27,ISNUMBER(E28),ISNUMBER(E27)),E28/E27-1,"")</f>
        <v>0.175317274411775</v>
      </c>
      <c r="L28" s="6" t="n">
        <f aca="false">IF(AND(ISNUMBER(E28),ISNUMBER(F28)),IF(E28=0,"",F28/E28),"")</f>
        <v>0.415948788729713</v>
      </c>
      <c r="M28" s="6" t="n">
        <f aca="false">IF(AND(ISNUMBER(E28),ISNUMBER(G28)),IF(E28=0,"",G28/E28),"")</f>
        <v>0.364517395649898</v>
      </c>
      <c r="N28" s="6" t="n">
        <f aca="false">IF(AND(ISNUMBER(E28),ISNUMBER(H28)),IF(E28=0,"",H28/E28),"")</f>
        <v>0.123244966922088</v>
      </c>
      <c r="O28" s="6" t="n">
        <f aca="false">IF(AND(ISNUMBER(E28),ISNUMBER(I28)),IF(E28=0,"",I28/E28),"")</f>
        <v>0.122685736043025</v>
      </c>
      <c r="P28" s="6" t="n">
        <f aca="false">IF(AND(ISNUMBER(E28),ISNUMBER(H28),ISNUMBER(I28)),IF(E28=0,"",(H28+I28)/E28),"")</f>
        <v>0.245930702965114</v>
      </c>
    </row>
    <row r="29" customFormat="false" ht="15" hidden="false" customHeight="false" outlineLevel="0" collapsed="false">
      <c r="A29" s="2" t="s">
        <v>37</v>
      </c>
      <c r="B29" s="3" t="s">
        <v>23</v>
      </c>
      <c r="C29" s="4" t="n">
        <v>44742</v>
      </c>
      <c r="D29" s="3" t="n">
        <v>2021</v>
      </c>
      <c r="E29" s="5" t="n">
        <v>198270</v>
      </c>
      <c r="F29" s="5" t="n">
        <v>83383</v>
      </c>
      <c r="G29" s="5" t="n">
        <v>72738</v>
      </c>
      <c r="H29" s="5" t="n">
        <v>24512</v>
      </c>
      <c r="I29" s="5" t="n">
        <v>23886</v>
      </c>
      <c r="J29" s="2" t="s">
        <v>39</v>
      </c>
      <c r="K29" s="6" t="n">
        <f aca="false">IF(AND(A29=A28,ISNUMBER(E29),ISNUMBER(E28)),E29/E28-1,"")</f>
        <v>0.179560706296702</v>
      </c>
      <c r="L29" s="6" t="n">
        <f aca="false">IF(AND(ISNUMBER(E29),ISNUMBER(F29)),IF(E29=0,"",F29/E29),"")</f>
        <v>0.420552781560498</v>
      </c>
      <c r="M29" s="6" t="n">
        <f aca="false">IF(AND(ISNUMBER(E29),ISNUMBER(G29)),IF(E29=0,"",G29/E29),"")</f>
        <v>0.366863368134362</v>
      </c>
      <c r="N29" s="6" t="n">
        <f aca="false">IF(AND(ISNUMBER(E29),ISNUMBER(H29)),IF(E29=0,"",H29/E29),"")</f>
        <v>0.123629394260352</v>
      </c>
      <c r="O29" s="6" t="n">
        <f aca="false">IF(AND(ISNUMBER(E29),ISNUMBER(I29)),IF(E29=0,"",I29/E29),"")</f>
        <v>0.120472083522469</v>
      </c>
      <c r="P29" s="6" t="n">
        <f aca="false">IF(AND(ISNUMBER(E29),ISNUMBER(H29),ISNUMBER(I29)),IF(E29=0,"",(H29+I29)/E29),"")</f>
        <v>0.244101477782821</v>
      </c>
    </row>
    <row r="30" customFormat="false" ht="15" hidden="false" customHeight="false" outlineLevel="0" collapsed="false">
      <c r="A30" s="2" t="s">
        <v>37</v>
      </c>
      <c r="B30" s="3" t="s">
        <v>24</v>
      </c>
      <c r="C30" s="4" t="n">
        <v>45107</v>
      </c>
      <c r="D30" s="3" t="n">
        <v>2022</v>
      </c>
      <c r="E30" s="5" t="n">
        <v>211915</v>
      </c>
      <c r="F30" s="5" t="n">
        <v>88523</v>
      </c>
      <c r="G30" s="5" t="n">
        <v>72361</v>
      </c>
      <c r="H30" s="5" t="n">
        <v>27195</v>
      </c>
      <c r="I30" s="5" t="n">
        <v>28107</v>
      </c>
      <c r="J30" s="2" t="s">
        <v>39</v>
      </c>
      <c r="K30" s="6" t="n">
        <f aca="false">IF(AND(A30=A29,ISNUMBER(E30),ISNUMBER(E29)),E30/E29-1,"")</f>
        <v>0.0688202955565642</v>
      </c>
      <c r="L30" s="6" t="n">
        <f aca="false">IF(AND(ISNUMBER(E30),ISNUMBER(F30)),IF(E30=0,"",F30/E30),"")</f>
        <v>0.417728806361041</v>
      </c>
      <c r="M30" s="6" t="n">
        <f aca="false">IF(AND(ISNUMBER(E30),ISNUMBER(G30)),IF(E30=0,"",G30/E30),"")</f>
        <v>0.341462378783946</v>
      </c>
      <c r="N30" s="6" t="n">
        <f aca="false">IF(AND(ISNUMBER(E30),ISNUMBER(H30)),IF(E30=0,"",H30/E30),"")</f>
        <v>0.128329754854541</v>
      </c>
      <c r="O30" s="6" t="n">
        <f aca="false">IF(AND(ISNUMBER(E30),ISNUMBER(I30)),IF(E30=0,"",I30/E30),"")</f>
        <v>0.132633367151924</v>
      </c>
      <c r="P30" s="6" t="n">
        <f aca="false">IF(AND(ISNUMBER(E30),ISNUMBER(H30),ISNUMBER(I30)),IF(E30=0,"",(H30+I30)/E30),"")</f>
        <v>0.260963122006465</v>
      </c>
    </row>
    <row r="31" customFormat="false" ht="15" hidden="false" customHeight="false" outlineLevel="0" collapsed="false">
      <c r="A31" s="2" t="s">
        <v>37</v>
      </c>
      <c r="B31" s="3" t="s">
        <v>26</v>
      </c>
      <c r="C31" s="4" t="n">
        <v>45473</v>
      </c>
      <c r="D31" s="3" t="n">
        <v>2023</v>
      </c>
      <c r="E31" s="5" t="n">
        <v>245122</v>
      </c>
      <c r="F31" s="5" t="n">
        <v>109433</v>
      </c>
      <c r="G31" s="5" t="n">
        <v>88136</v>
      </c>
      <c r="H31" s="5" t="n">
        <v>29510</v>
      </c>
      <c r="I31" s="5" t="n">
        <v>44477</v>
      </c>
      <c r="J31" s="2" t="s">
        <v>40</v>
      </c>
      <c r="K31" s="6" t="n">
        <f aca="false">IF(AND(A31=A30,ISNUMBER(E31),ISNUMBER(E30)),E31/E30-1,"")</f>
        <v>0.156699620130713</v>
      </c>
      <c r="L31" s="6" t="n">
        <f aca="false">IF(AND(ISNUMBER(E31),ISNUMBER(F31)),IF(E31=0,"",F31/E31),"")</f>
        <v>0.446442995732737</v>
      </c>
      <c r="M31" s="6" t="n">
        <f aca="false">IF(AND(ISNUMBER(E31),ISNUMBER(G31)),IF(E31=0,"",G31/E31),"")</f>
        <v>0.35955972944085</v>
      </c>
      <c r="N31" s="6" t="n">
        <f aca="false">IF(AND(ISNUMBER(E31),ISNUMBER(H31)),IF(E31=0,"",H31/E31),"")</f>
        <v>0.120389030768352</v>
      </c>
      <c r="O31" s="6" t="n">
        <f aca="false">IF(AND(ISNUMBER(E31),ISNUMBER(I31)),IF(E31=0,"",I31/E31),"")</f>
        <v>0.181448421602304</v>
      </c>
      <c r="P31" s="6" t="n">
        <f aca="false">IF(AND(ISNUMBER(E31),ISNUMBER(H31),ISNUMBER(I31)),IF(E31=0,"",(H31+I31)/E31),"")</f>
        <v>0.301837452370656</v>
      </c>
    </row>
    <row r="32" customFormat="false" ht="15" hidden="false" customHeight="false" outlineLevel="0" collapsed="false">
      <c r="A32" s="2" t="s">
        <v>37</v>
      </c>
      <c r="B32" s="3" t="s">
        <v>27</v>
      </c>
      <c r="C32" s="4" t="n">
        <v>45838</v>
      </c>
      <c r="D32" s="3" t="n">
        <v>2024</v>
      </c>
      <c r="E32" s="5" t="n">
        <v>281724</v>
      </c>
      <c r="F32" s="5" t="n">
        <v>128528</v>
      </c>
      <c r="G32" s="5" t="n">
        <v>101832</v>
      </c>
      <c r="H32" s="5" t="n">
        <v>32488</v>
      </c>
      <c r="I32" s="5" t="n">
        <v>64551</v>
      </c>
      <c r="J32" s="2" t="s">
        <v>40</v>
      </c>
      <c r="K32" s="6" t="n">
        <f aca="false">IF(AND(A32=A31,ISNUMBER(E32),ISNUMBER(E31)),E32/E31-1,"")</f>
        <v>0.149321562324067</v>
      </c>
      <c r="L32" s="6" t="n">
        <f aca="false">IF(AND(ISNUMBER(E32),ISNUMBER(F32)),IF(E32=0,"",F32/E32),"")</f>
        <v>0.456219562408599</v>
      </c>
      <c r="M32" s="6" t="n">
        <f aca="false">IF(AND(ISNUMBER(E32),ISNUMBER(G32)),IF(E32=0,"",G32/E32),"")</f>
        <v>0.361460152489671</v>
      </c>
      <c r="N32" s="6" t="n">
        <f aca="false">IF(AND(ISNUMBER(E32),ISNUMBER(H32)),IF(E32=0,"",H32/E32),"")</f>
        <v>0.115318538711647</v>
      </c>
      <c r="O32" s="6" t="n">
        <f aca="false">IF(AND(ISNUMBER(E32),ISNUMBER(I32)),IF(E32=0,"",I32/E32),"")</f>
        <v>0.229128508753248</v>
      </c>
      <c r="P32" s="6" t="n">
        <f aca="false">IF(AND(ISNUMBER(E32),ISNUMBER(H32),ISNUMBER(I32)),IF(E32=0,"",(H32+I32)/E32),"")</f>
        <v>0.344447047464895</v>
      </c>
    </row>
    <row r="33" customFormat="false" ht="15" hidden="false" customHeight="false" outlineLevel="0" collapsed="false">
      <c r="A33" s="2" t="s">
        <v>37</v>
      </c>
      <c r="B33" s="3" t="s">
        <v>41</v>
      </c>
      <c r="C33" s="4" t="n">
        <v>46203</v>
      </c>
      <c r="D33" s="3" t="n">
        <v>2025</v>
      </c>
      <c r="E33" s="5" t="n">
        <v>331839</v>
      </c>
      <c r="F33" s="5" t="n">
        <v>155237</v>
      </c>
      <c r="G33" s="5" t="n">
        <v>133749</v>
      </c>
      <c r="H33" s="5" t="n">
        <v>35562</v>
      </c>
      <c r="I33" s="5" t="n">
        <v>115948</v>
      </c>
      <c r="J33" s="2" t="s">
        <v>40</v>
      </c>
      <c r="K33" s="6" t="n">
        <f aca="false">IF(AND(A33=A32,ISNUMBER(E33),ISNUMBER(E32)),E33/E32-1,"")</f>
        <v>0.177886867998467</v>
      </c>
      <c r="L33" s="6" t="n">
        <f aca="false">IF(AND(ISNUMBER(E33),ISNUMBER(F33)),IF(E33=0,"",F33/E33),"")</f>
        <v>0.467808184089272</v>
      </c>
      <c r="M33" s="6" t="n">
        <f aca="false">IF(AND(ISNUMBER(E33),ISNUMBER(G33)),IF(E33=0,"",G33/E33),"")</f>
        <v>0.403053890591522</v>
      </c>
      <c r="N33" s="6" t="n">
        <f aca="false">IF(AND(ISNUMBER(E33),ISNUMBER(H33)),IF(E33=0,"",H33/E33),"")</f>
        <v>0.107166427092656</v>
      </c>
      <c r="O33" s="6" t="n">
        <f aca="false">IF(AND(ISNUMBER(E33),ISNUMBER(I33)),IF(E33=0,"",I33/E33),"")</f>
        <v>0.349410406853926</v>
      </c>
      <c r="P33" s="6" t="n">
        <f aca="false">IF(AND(ISNUMBER(E33),ISNUMBER(H33),ISNUMBER(I33)),IF(E33=0,"",(H33+I33)/E33),"")</f>
        <v>0.456576833946583</v>
      </c>
    </row>
    <row r="34" customFormat="false" ht="15" hidden="false" customHeight="false" outlineLevel="0" collapsed="false">
      <c r="A34" s="2" t="s">
        <v>42</v>
      </c>
      <c r="B34" s="3" t="s">
        <v>19</v>
      </c>
      <c r="C34" s="4" t="n">
        <v>43492</v>
      </c>
      <c r="D34" s="3" t="n">
        <v>2018</v>
      </c>
      <c r="E34" s="5" t="n">
        <v>11716</v>
      </c>
      <c r="F34" s="5" t="n">
        <v>3804</v>
      </c>
      <c r="G34" s="5" t="n">
        <v>4141</v>
      </c>
      <c r="H34" s="5" t="n">
        <v>2376</v>
      </c>
      <c r="I34" s="5" t="n">
        <v>600</v>
      </c>
      <c r="J34" s="2" t="s">
        <v>43</v>
      </c>
      <c r="K34" s="6" t="str">
        <f aca="false">IF(AND(A34=A33,ISNUMBER(E34),ISNUMBER(E33)),E34/E33-1,"")</f>
        <v/>
      </c>
      <c r="L34" s="6" t="n">
        <f aca="false">IF(AND(ISNUMBER(E34),ISNUMBER(F34)),IF(E34=0,"",F34/E34),"")</f>
        <v>0.324684192557187</v>
      </c>
      <c r="M34" s="6" t="n">
        <f aca="false">IF(AND(ISNUMBER(E34),ISNUMBER(G34)),IF(E34=0,"",G34/E34),"")</f>
        <v>0.353448275862069</v>
      </c>
      <c r="N34" s="6" t="n">
        <f aca="false">IF(AND(ISNUMBER(E34),ISNUMBER(H34)),IF(E34=0,"",H34/E34),"")</f>
        <v>0.202799590303858</v>
      </c>
      <c r="O34" s="6" t="n">
        <f aca="false">IF(AND(ISNUMBER(E34),ISNUMBER(I34)),IF(E34=0,"",I34/E34),"")</f>
        <v>0.0512120177534995</v>
      </c>
      <c r="P34" s="6" t="n">
        <f aca="false">IF(AND(ISNUMBER(E34),ISNUMBER(H34),ISNUMBER(I34)),IF(E34=0,"",(H34+I34)/E34),"")</f>
        <v>0.254011608057357</v>
      </c>
    </row>
    <row r="35" customFormat="false" ht="15" hidden="false" customHeight="false" outlineLevel="0" collapsed="false">
      <c r="A35" s="2" t="s">
        <v>42</v>
      </c>
      <c r="B35" s="3" t="s">
        <v>20</v>
      </c>
      <c r="C35" s="4" t="n">
        <v>43856</v>
      </c>
      <c r="D35" s="3" t="n">
        <v>2019</v>
      </c>
      <c r="E35" s="5" t="n">
        <v>10918</v>
      </c>
      <c r="F35" s="5" t="n">
        <v>2846</v>
      </c>
      <c r="G35" s="5" t="n">
        <v>2796</v>
      </c>
      <c r="H35" s="5" t="n">
        <v>2829</v>
      </c>
      <c r="I35" s="5" t="n">
        <v>489</v>
      </c>
      <c r="J35" s="2" t="s">
        <v>43</v>
      </c>
      <c r="K35" s="6" t="n">
        <f aca="false">IF(AND(A35=A34,ISNUMBER(E35),ISNUMBER(E34)),E35/E34-1,"")</f>
        <v>-0.0681119836121543</v>
      </c>
      <c r="L35" s="6" t="n">
        <f aca="false">IF(AND(ISNUMBER(E35),ISNUMBER(F35)),IF(E35=0,"",F35/E35),"")</f>
        <v>0.260670452463821</v>
      </c>
      <c r="M35" s="6" t="n">
        <f aca="false">IF(AND(ISNUMBER(E35),ISNUMBER(G35)),IF(E35=0,"",G35/E35),"")</f>
        <v>0.256090859131709</v>
      </c>
      <c r="N35" s="6" t="n">
        <f aca="false">IF(AND(ISNUMBER(E35),ISNUMBER(H35)),IF(E35=0,"",H35/E35),"")</f>
        <v>0.259113390730903</v>
      </c>
      <c r="O35" s="6" t="n">
        <f aca="false">IF(AND(ISNUMBER(E35),ISNUMBER(I35)),IF(E35=0,"",I35/E35),"")</f>
        <v>0.0447884227880564</v>
      </c>
      <c r="P35" s="6" t="n">
        <f aca="false">IF(AND(ISNUMBER(E35),ISNUMBER(H35),ISNUMBER(I35)),IF(E35=0,"",(H35+I35)/E35),"")</f>
        <v>0.30390181351896</v>
      </c>
    </row>
    <row r="36" customFormat="false" ht="15" hidden="false" customHeight="false" outlineLevel="0" collapsed="false">
      <c r="A36" s="2" t="s">
        <v>42</v>
      </c>
      <c r="B36" s="3" t="s">
        <v>22</v>
      </c>
      <c r="C36" s="4" t="n">
        <v>44227</v>
      </c>
      <c r="D36" s="3" t="n">
        <v>2020</v>
      </c>
      <c r="E36" s="5" t="n">
        <v>16675</v>
      </c>
      <c r="F36" s="5" t="n">
        <v>4532</v>
      </c>
      <c r="G36" s="5" t="n">
        <v>4332</v>
      </c>
      <c r="H36" s="5" t="n">
        <v>3924</v>
      </c>
      <c r="I36" s="5" t="n">
        <v>1128</v>
      </c>
      <c r="J36" s="2" t="s">
        <v>44</v>
      </c>
      <c r="K36" s="6" t="n">
        <f aca="false">IF(AND(A36=A35,ISNUMBER(E36),ISNUMBER(E35)),E36/E35-1,"")</f>
        <v>0.527294376259388</v>
      </c>
      <c r="L36" s="6" t="n">
        <f aca="false">IF(AND(ISNUMBER(E36),ISNUMBER(F36)),IF(E36=0,"",F36/E36),"")</f>
        <v>0.271784107946027</v>
      </c>
      <c r="M36" s="6" t="n">
        <f aca="false">IF(AND(ISNUMBER(E36),ISNUMBER(G36)),IF(E36=0,"",G36/E36),"")</f>
        <v>0.259790104947526</v>
      </c>
      <c r="N36" s="6" t="n">
        <f aca="false">IF(AND(ISNUMBER(E36),ISNUMBER(H36)),IF(E36=0,"",H36/E36),"")</f>
        <v>0.235322338830585</v>
      </c>
      <c r="O36" s="6" t="n">
        <f aca="false">IF(AND(ISNUMBER(E36),ISNUMBER(I36)),IF(E36=0,"",I36/E36),"")</f>
        <v>0.0676461769115442</v>
      </c>
      <c r="P36" s="6" t="n">
        <f aca="false">IF(AND(ISNUMBER(E36),ISNUMBER(H36),ISNUMBER(I36)),IF(E36=0,"",(H36+I36)/E36),"")</f>
        <v>0.302968515742129</v>
      </c>
    </row>
    <row r="37" customFormat="false" ht="15" hidden="false" customHeight="false" outlineLevel="0" collapsed="false">
      <c r="A37" s="2" t="s">
        <v>42</v>
      </c>
      <c r="B37" s="3" t="s">
        <v>23</v>
      </c>
      <c r="C37" s="4" t="n">
        <v>44591</v>
      </c>
      <c r="D37" s="3" t="n">
        <v>2021</v>
      </c>
      <c r="E37" s="5" t="n">
        <v>26914</v>
      </c>
      <c r="F37" s="5" t="n">
        <v>10041</v>
      </c>
      <c r="G37" s="5" t="n">
        <v>9752</v>
      </c>
      <c r="H37" s="5" t="n">
        <v>5268</v>
      </c>
      <c r="I37" s="5" t="n">
        <v>976</v>
      </c>
      <c r="J37" s="2" t="s">
        <v>44</v>
      </c>
      <c r="K37" s="6" t="n">
        <f aca="false">IF(AND(A37=A36,ISNUMBER(E37),ISNUMBER(E36)),E37/E36-1,"")</f>
        <v>0.614032983508246</v>
      </c>
      <c r="L37" s="6" t="n">
        <f aca="false">IF(AND(ISNUMBER(E37),ISNUMBER(F37)),IF(E37=0,"",F37/E37),"")</f>
        <v>0.373077208887568</v>
      </c>
      <c r="M37" s="6" t="n">
        <f aca="false">IF(AND(ISNUMBER(E37),ISNUMBER(G37)),IF(E37=0,"",G37/E37),"")</f>
        <v>0.362339302965</v>
      </c>
      <c r="N37" s="6" t="n">
        <f aca="false">IF(AND(ISNUMBER(E37),ISNUMBER(H37)),IF(E37=0,"",H37/E37),"")</f>
        <v>0.195734561938025</v>
      </c>
      <c r="O37" s="6" t="n">
        <f aca="false">IF(AND(ISNUMBER(E37),ISNUMBER(I37)),IF(E37=0,"",I37/E37),"")</f>
        <v>0.0362636546035521</v>
      </c>
      <c r="P37" s="6" t="n">
        <f aca="false">IF(AND(ISNUMBER(E37),ISNUMBER(H37),ISNUMBER(I37)),IF(E37=0,"",(H37+I37)/E37),"")</f>
        <v>0.231998216541577</v>
      </c>
    </row>
    <row r="38" customFormat="false" ht="15" hidden="false" customHeight="false" outlineLevel="0" collapsed="false">
      <c r="A38" s="2" t="s">
        <v>42</v>
      </c>
      <c r="B38" s="3" t="s">
        <v>24</v>
      </c>
      <c r="C38" s="4" t="n">
        <v>44955</v>
      </c>
      <c r="D38" s="3" t="n">
        <v>2022</v>
      </c>
      <c r="E38" s="5" t="n">
        <v>26974</v>
      </c>
      <c r="F38" s="5" t="n">
        <v>4224</v>
      </c>
      <c r="G38" s="5" t="n">
        <v>4368</v>
      </c>
      <c r="H38" s="5" t="n">
        <v>7339</v>
      </c>
      <c r="I38" s="5" t="n">
        <v>1833</v>
      </c>
      <c r="J38" s="2" t="s">
        <v>44</v>
      </c>
      <c r="K38" s="6" t="n">
        <f aca="false">IF(AND(A38=A37,ISNUMBER(E38),ISNUMBER(E37)),E38/E37-1,"")</f>
        <v>0.00222932302890699</v>
      </c>
      <c r="L38" s="6" t="n">
        <f aca="false">IF(AND(ISNUMBER(E38),ISNUMBER(F38)),IF(E38=0,"",F38/E38),"")</f>
        <v>0.156595239860607</v>
      </c>
      <c r="M38" s="6" t="n">
        <f aca="false">IF(AND(ISNUMBER(E38),ISNUMBER(G38)),IF(E38=0,"",G38/E38),"")</f>
        <v>0.161933713946764</v>
      </c>
      <c r="N38" s="6" t="n">
        <f aca="false">IF(AND(ISNUMBER(E38),ISNUMBER(H38)),IF(E38=0,"",H38/E38),"")</f>
        <v>0.272076814710462</v>
      </c>
      <c r="O38" s="6" t="n">
        <f aca="false">IF(AND(ISNUMBER(E38),ISNUMBER(I38)),IF(E38=0,"",I38/E38),"")</f>
        <v>0.067954326388374</v>
      </c>
      <c r="P38" s="6" t="n">
        <f aca="false">IF(AND(ISNUMBER(E38),ISNUMBER(H38),ISNUMBER(I38)),IF(E38=0,"",(H38+I38)/E38),"")</f>
        <v>0.340031141098836</v>
      </c>
    </row>
    <row r="39" customFormat="false" ht="15" hidden="false" customHeight="false" outlineLevel="0" collapsed="false">
      <c r="A39" s="2" t="s">
        <v>42</v>
      </c>
      <c r="B39" s="3" t="s">
        <v>26</v>
      </c>
      <c r="C39" s="4" t="n">
        <v>45319</v>
      </c>
      <c r="D39" s="3" t="n">
        <v>2023</v>
      </c>
      <c r="E39" s="5" t="n">
        <v>60922</v>
      </c>
      <c r="F39" s="5" t="n">
        <v>32972</v>
      </c>
      <c r="G39" s="5" t="n">
        <v>29760</v>
      </c>
      <c r="H39" s="5" t="n">
        <v>8675</v>
      </c>
      <c r="I39" s="5" t="n">
        <v>1069</v>
      </c>
      <c r="J39" s="2" t="s">
        <v>45</v>
      </c>
      <c r="K39" s="6" t="n">
        <f aca="false">IF(AND(A39=A38,ISNUMBER(E39),ISNUMBER(E38)),E39/E38-1,"")</f>
        <v>1.25854526581152</v>
      </c>
      <c r="L39" s="6" t="n">
        <f aca="false">IF(AND(ISNUMBER(E39),ISNUMBER(F39)),IF(E39=0,"",F39/E39),"")</f>
        <v>0.541216637667838</v>
      </c>
      <c r="M39" s="6" t="n">
        <f aca="false">IF(AND(ISNUMBER(E39),ISNUMBER(G39)),IF(E39=0,"",G39/E39),"")</f>
        <v>0.488493483470667</v>
      </c>
      <c r="N39" s="6" t="n">
        <f aca="false">IF(AND(ISNUMBER(E39),ISNUMBER(H39)),IF(E39=0,"",H39/E39),"")</f>
        <v>0.142395193854437</v>
      </c>
      <c r="O39" s="6" t="n">
        <f aca="false">IF(AND(ISNUMBER(E39),ISNUMBER(I39)),IF(E39=0,"",I39/E39),"")</f>
        <v>0.017547027346443</v>
      </c>
      <c r="P39" s="6" t="n">
        <f aca="false">IF(AND(ISNUMBER(E39),ISNUMBER(H39),ISNUMBER(I39)),IF(E39=0,"",(H39+I39)/E39),"")</f>
        <v>0.15994222120088</v>
      </c>
    </row>
    <row r="40" customFormat="false" ht="15" hidden="false" customHeight="false" outlineLevel="0" collapsed="false">
      <c r="A40" s="2" t="s">
        <v>42</v>
      </c>
      <c r="B40" s="3" t="s">
        <v>27</v>
      </c>
      <c r="C40" s="4" t="n">
        <v>45683</v>
      </c>
      <c r="D40" s="3" t="n">
        <v>2024</v>
      </c>
      <c r="E40" s="5" t="n">
        <v>130497</v>
      </c>
      <c r="F40" s="5" t="n">
        <v>81453</v>
      </c>
      <c r="G40" s="5" t="n">
        <v>72880</v>
      </c>
      <c r="H40" s="5" t="n">
        <v>12914</v>
      </c>
      <c r="I40" s="5" t="n">
        <v>3236</v>
      </c>
      <c r="J40" s="2" t="s">
        <v>45</v>
      </c>
      <c r="K40" s="6" t="n">
        <f aca="false">IF(AND(A40=A39,ISNUMBER(E40),ISNUMBER(E39)),E40/E39-1,"")</f>
        <v>1.14203407635994</v>
      </c>
      <c r="L40" s="6" t="n">
        <f aca="false">IF(AND(ISNUMBER(E40),ISNUMBER(F40)),IF(E40=0,"",F40/E40),"")</f>
        <v>0.624175268396975</v>
      </c>
      <c r="M40" s="6" t="n">
        <f aca="false">IF(AND(ISNUMBER(E40),ISNUMBER(G40)),IF(E40=0,"",G40/E40),"")</f>
        <v>0.558480271577124</v>
      </c>
      <c r="N40" s="6" t="n">
        <f aca="false">IF(AND(ISNUMBER(E40),ISNUMBER(H40)),IF(E40=0,"",H40/E40),"")</f>
        <v>0.0989601293516326</v>
      </c>
      <c r="O40" s="6" t="n">
        <f aca="false">IF(AND(ISNUMBER(E40),ISNUMBER(I40)),IF(E40=0,"",I40/E40),"")</f>
        <v>0.0247975049234848</v>
      </c>
      <c r="P40" s="6" t="n">
        <f aca="false">IF(AND(ISNUMBER(E40),ISNUMBER(H40),ISNUMBER(I40)),IF(E40=0,"",(H40+I40)/E40),"")</f>
        <v>0.123757634275117</v>
      </c>
    </row>
    <row r="41" customFormat="false" ht="15" hidden="false" customHeight="false" outlineLevel="0" collapsed="false">
      <c r="A41" s="2" t="s">
        <v>42</v>
      </c>
      <c r="B41" s="3" t="s">
        <v>41</v>
      </c>
      <c r="C41" s="4" t="n">
        <v>46047</v>
      </c>
      <c r="D41" s="3" t="n">
        <v>2025</v>
      </c>
      <c r="E41" s="5" t="n">
        <v>215938</v>
      </c>
      <c r="F41" s="5" t="n">
        <v>130387</v>
      </c>
      <c r="G41" s="5" t="n">
        <v>120067</v>
      </c>
      <c r="H41" s="5" t="n">
        <v>18497</v>
      </c>
      <c r="I41" s="5" t="n">
        <v>6042</v>
      </c>
      <c r="J41" s="2" t="s">
        <v>45</v>
      </c>
      <c r="K41" s="6" t="n">
        <f aca="false">IF(AND(A41=A40,ISNUMBER(E41),ISNUMBER(E40)),E41/E40-1,"")</f>
        <v>0.654735357900948</v>
      </c>
      <c r="L41" s="6" t="n">
        <f aca="false">IF(AND(ISNUMBER(E41),ISNUMBER(F41)),IF(E41=0,"",F41/E41),"")</f>
        <v>0.603816836314127</v>
      </c>
      <c r="M41" s="6" t="n">
        <f aca="false">IF(AND(ISNUMBER(E41),ISNUMBER(G41)),IF(E41=0,"",G41/E41),"")</f>
        <v>0.556025340607026</v>
      </c>
      <c r="N41" s="6" t="n">
        <f aca="false">IF(AND(ISNUMBER(E41),ISNUMBER(H41)),IF(E41=0,"",H41/E41),"")</f>
        <v>0.0856588465207606</v>
      </c>
      <c r="O41" s="6" t="n">
        <f aca="false">IF(AND(ISNUMBER(E41),ISNUMBER(I41)),IF(E41=0,"",I41/E41),"")</f>
        <v>0.0279802535913086</v>
      </c>
      <c r="P41" s="6" t="n">
        <f aca="false">IF(AND(ISNUMBER(E41),ISNUMBER(H41),ISNUMBER(I41)),IF(E41=0,"",(H41+I41)/E41),"")</f>
        <v>0.113639100112069</v>
      </c>
    </row>
    <row r="43" customFormat="false" ht="15" hidden="false" customHeight="false" outlineLevel="0" collapsed="false">
      <c r="A43" s="7" t="s">
        <v>46</v>
      </c>
    </row>
    <row r="44" customFormat="false" ht="15" hidden="false" customHeight="false" outlineLevel="0" collapsed="false">
      <c r="A44" s="8" t="s">
        <v>47</v>
      </c>
    </row>
    <row r="45" customFormat="false" ht="15" hidden="false" customHeight="false" outlineLevel="0" collapsed="false">
      <c r="A45" s="8" t="s">
        <v>48</v>
      </c>
    </row>
  </sheetData>
  <autoFilter ref="A1:P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6.15" hidden="false" customHeight="false" outlineLevel="0" collapsed="false">
      <c r="A1" s="9" t="s">
        <v>49</v>
      </c>
    </row>
    <row r="3" customFormat="false" ht="15" hidden="false" customHeight="false" outlineLevel="0" collapsed="false">
      <c r="A3" s="10" t="s">
        <v>50</v>
      </c>
      <c r="B3" s="11" t="s">
        <v>51</v>
      </c>
    </row>
    <row r="4" customFormat="false" ht="39.55" hidden="false" customHeight="false" outlineLevel="0" collapsed="false">
      <c r="A4" s="10" t="s">
        <v>52</v>
      </c>
      <c r="B4" s="11" t="s">
        <v>53</v>
      </c>
    </row>
    <row r="5" customFormat="false" ht="15" hidden="false" customHeight="false" outlineLevel="0" collapsed="false">
      <c r="A5" s="10" t="s">
        <v>54</v>
      </c>
      <c r="B5" s="11" t="s">
        <v>55</v>
      </c>
    </row>
    <row r="6" customFormat="false" ht="15" hidden="false" customHeight="false" outlineLevel="0" collapsed="false">
      <c r="A6" s="10"/>
      <c r="B6" s="11"/>
    </row>
    <row r="7" customFormat="false" ht="15" hidden="false" customHeight="false" outlineLevel="0" collapsed="false">
      <c r="A7" s="10" t="s">
        <v>56</v>
      </c>
      <c r="B7" s="11"/>
    </row>
    <row r="8" customFormat="false" ht="15" hidden="false" customHeight="false" outlineLevel="0" collapsed="false">
      <c r="A8" s="10" t="s">
        <v>57</v>
      </c>
      <c r="B8" s="11" t="s">
        <v>58</v>
      </c>
    </row>
    <row r="9" customFormat="false" ht="15" hidden="false" customHeight="false" outlineLevel="0" collapsed="false">
      <c r="A9" s="10" t="s">
        <v>59</v>
      </c>
      <c r="B9" s="11" t="s">
        <v>60</v>
      </c>
    </row>
    <row r="10" customFormat="false" ht="15" hidden="false" customHeight="false" outlineLevel="0" collapsed="false">
      <c r="A10" s="10" t="s">
        <v>61</v>
      </c>
      <c r="B10" s="11" t="s">
        <v>62</v>
      </c>
    </row>
    <row r="11" customFormat="false" ht="39.55" hidden="false" customHeight="false" outlineLevel="0" collapsed="false">
      <c r="A11" s="10" t="s">
        <v>63</v>
      </c>
      <c r="B11" s="11" t="s">
        <v>64</v>
      </c>
    </row>
    <row r="12" customFormat="false" ht="52.2" hidden="false" customHeight="false" outlineLevel="0" collapsed="false">
      <c r="A12" s="10" t="s">
        <v>65</v>
      </c>
      <c r="B12" s="11" t="s">
        <v>66</v>
      </c>
    </row>
    <row r="13" customFormat="false" ht="15" hidden="false" customHeight="false" outlineLevel="0" collapsed="false">
      <c r="A13" s="10"/>
      <c r="B13" s="11"/>
    </row>
    <row r="14" customFormat="false" ht="15" hidden="false" customHeight="false" outlineLevel="0" collapsed="false">
      <c r="A14" s="10" t="s">
        <v>67</v>
      </c>
      <c r="B14" s="11"/>
    </row>
    <row r="15" customFormat="false" ht="26.85" hidden="false" customHeight="false" outlineLevel="0" collapsed="false">
      <c r="A15" s="10" t="s">
        <v>68</v>
      </c>
      <c r="B15" s="11" t="s">
        <v>69</v>
      </c>
    </row>
    <row r="16" customFormat="false" ht="15" hidden="false" customHeight="false" outlineLevel="0" collapsed="false">
      <c r="A16" s="10" t="s">
        <v>70</v>
      </c>
      <c r="B16" s="11" t="s">
        <v>71</v>
      </c>
    </row>
    <row r="17" customFormat="false" ht="26.85" hidden="false" customHeight="false" outlineLevel="0" collapsed="false">
      <c r="A17" s="10" t="s">
        <v>72</v>
      </c>
      <c r="B17" s="11" t="s">
        <v>73</v>
      </c>
    </row>
    <row r="18" customFormat="false" ht="26.85" hidden="false" customHeight="false" outlineLevel="0" collapsed="false">
      <c r="A18" s="10" t="s">
        <v>74</v>
      </c>
      <c r="B18" s="11" t="s">
        <v>75</v>
      </c>
    </row>
    <row r="19" customFormat="false" ht="26.85" hidden="false" customHeight="false" outlineLevel="0" collapsed="false">
      <c r="A19" s="10" t="s">
        <v>76</v>
      </c>
      <c r="B19" s="11" t="s">
        <v>77</v>
      </c>
    </row>
    <row r="20" customFormat="false" ht="15" hidden="false" customHeight="false" outlineLevel="0" collapsed="false">
      <c r="A20" s="10"/>
      <c r="B20" s="11"/>
    </row>
    <row r="21" customFormat="false" ht="15" hidden="false" customHeight="false" outlineLevel="0" collapsed="false">
      <c r="A21" s="10" t="s">
        <v>78</v>
      </c>
      <c r="B21" s="11"/>
    </row>
    <row r="22" customFormat="false" ht="26.85" hidden="false" customHeight="false" outlineLevel="0" collapsed="false">
      <c r="A22" s="10" t="s">
        <v>79</v>
      </c>
      <c r="B22" s="11" t="s">
        <v>80</v>
      </c>
    </row>
    <row r="23" customFormat="false" ht="26.85" hidden="false" customHeight="false" outlineLevel="0" collapsed="false">
      <c r="A23" s="10" t="s">
        <v>81</v>
      </c>
      <c r="B23" s="11" t="s">
        <v>82</v>
      </c>
    </row>
    <row r="24" customFormat="false" ht="15" hidden="false" customHeight="false" outlineLevel="0" collapsed="false">
      <c r="A24" s="10"/>
      <c r="B24" s="11"/>
    </row>
    <row r="25" customFormat="false" ht="26.85" hidden="false" customHeight="false" outlineLevel="0" collapsed="false">
      <c r="A25" s="10" t="s">
        <v>83</v>
      </c>
      <c r="B25" s="11"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2026-09-20T14:35:10Z</dcterms:created>
  <dc:creator>openpyxl</dc:creator>
  <dc:description/>
  <dc:language>en-US</dc:language>
  <cp:lastModifiedBy/>
  <dcterms:modified xsi:type="dcterms:W3CDTF">2026-09-20T14:35:10Z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